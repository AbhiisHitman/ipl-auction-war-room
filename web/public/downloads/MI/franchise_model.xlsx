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Teams" sheetId="2" state="visible" r:id="rId2"/>
    <sheet xmlns:r="http://schemas.openxmlformats.org/officeDocument/2006/relationships" name="P&amp;L" sheetId="3" state="visible" r:id="rId3"/>
    <sheet xmlns:r="http://schemas.openxmlformats.org/officeDocument/2006/relationships" name="Scenarios" sheetId="4" state="visible" r:id="rId4"/>
    <sheet xmlns:r="http://schemas.openxmlformats.org/officeDocument/2006/relationships" name="Check" sheetId="5" state="visible" r:id="rId5"/>
  </sheets>
  <definedNames>
    <definedName name="sel_team">Assumptions!$B$3</definedName>
    <definedName name="media_rights_total">Assumptions!$B$6</definedName>
    <definedName name="media_rights_seasons">Assumptions!$B$7</definedName>
    <definedName name="share_media">Assumptions!$B$8</definedName>
    <definedName name="title_spons">Assumptions!$B$9</definedName>
    <definedName name="other_central_spons">Assumptions!$B$10</definedName>
    <definedName name="share_spons">Assumptions!$B$11</definedName>
    <definedName name="n_teams">Assumptions!$B$12</definedName>
    <definedName name="team_spons_base">Assumptions!$B$13</definedName>
    <definedName name="merch_base">Assumptions!$B$14</definedName>
    <definedName name="home_matches">Assumptions!$B$15</definedName>
    <definedName name="occupancy">Assumptions!$B$16</definedName>
    <definedName name="max_seats">Assumptions!$B$17</definedName>
    <definedName name="comp_share">Assumptions!$B$18</definedName>
    <definedName name="ticket_price">Assumptions!$B$19</definedName>
    <definedName name="match_day_cost">Assumptions!$B$20</definedName>
    <definedName name="match_fee_lakh">Assumptions!$B$21</definedName>
    <definedName name="match_fee_players">Assumptions!$B$22</definedName>
    <definedName name="league_matches">Assumptions!$B$23</definedName>
    <definedName name="support_staff">Assumptions!$B$24</definedName>
    <definedName name="ops_admin">Assumptions!$B$25</definedName>
    <definedName name="marketing">Assumptions!$B$26</definedName>
    <definedName name="travel">Assumptions!$B$27</definedName>
    <definedName name="bcci_fee_share">Assumptions!$B$28</definedName>
    <definedName name="prize_winner">Assumptions!$B$29</definedName>
    <definedName name="prize_runner">Assumptions!$B$30</definedName>
    <definedName name="prize_third">Assumptions!$B$31</definedName>
    <definedName name="prize_fourth">Assumptions!$B$32</definedName>
    <definedName name="spons_up_playoffs">Assumptions!$B$33</definedName>
    <definedName name="spons_up_title">Assumptions!$B$34</definedName>
    <definedName name="merch_up_playoffs">Assumptions!$B$35</definedName>
    <definedName name="merch_up_title">Assumptions!$B$36</definedName>
    <definedName name="po_games_playoffs">Assumptions!$B$37</definedName>
    <definedName name="po_games_title">Assumptions!$B$38</definedName>
    <definedName name="title_given_playoffs">Assumptions!$B$39</definedName>
    <definedName name="t_code">Teams!$A$2:$A$11</definedName>
    <definedName name="t_brand">Teams!$C$2:$C$11</definedName>
    <definedName name="t_capacity">Teams!$E$2:$E$11</definedName>
    <definedName name="t_fee">Teams!$F$2:$F$11</definedName>
    <definedName name="t_salary">Teams!$G$2:$G$11</definedName>
    <definedName name="t_playoff">Teams!$H$2:$H$11</definedName>
    <definedName name="brand_index">'P&amp;L'!$B$5</definedName>
    <definedName name="capacity">'P&amp;L'!$B$6</definedName>
    <definedName name="salary">'P&amp;L'!$B$7</definedName>
    <definedName name="fee">'P&amp;L'!$B$8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#,##0.0000"/>
  </numFmts>
  <fonts count="6">
    <font>
      <name val="Calibri"/>
      <family val="2"/>
      <color theme="1"/>
      <sz val="11"/>
      <scheme val="minor"/>
    </font>
    <font>
      <b val="1"/>
      <color rgb="001F3A5F"/>
      <sz val="14"/>
    </font>
    <font>
      <b val="1"/>
    </font>
    <font>
      <b val="1"/>
      <color rgb="00FFFFFF"/>
    </font>
    <font>
      <b val="1"/>
      <color rgb="001F3A5F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1F3A5F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vertical="center" wrapText="1"/>
    </xf>
    <xf numFmtId="0" fontId="0" fillId="4" borderId="0" pivotButton="0" quotePrefix="0" xfId="0"/>
    <xf numFmtId="0" fontId="4" fillId="0" borderId="0" pivotButton="0" quotePrefix="0" xfId="0"/>
    <xf numFmtId="164" fontId="0" fillId="0" borderId="1" pivotButton="0" quotePrefix="0" xfId="0"/>
    <xf numFmtId="0" fontId="5" fillId="0" borderId="0" pivotButton="0" quotePrefix="0" xfId="0"/>
    <xf numFmtId="164" fontId="2" fillId="0" borderId="1" pivotButton="0" quotePrefix="0" xfId="0"/>
    <xf numFmtId="165" fontId="0" fillId="0" borderId="1" pivotButton="0" quotePrefix="0" xfId="0"/>
    <xf numFmtId="165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0" customWidth="1" min="3" max="3"/>
    <col width="12" customWidth="1" min="4" max="4"/>
    <col width="110" customWidth="1" min="5" max="5"/>
  </cols>
  <sheetData>
    <row r="1">
      <c r="A1" s="1" t="inlineStr">
        <is>
          <t>IPL Franchise Model - Assumptions</t>
        </is>
      </c>
    </row>
    <row r="2">
      <c r="A2" t="inlineStr">
        <is>
          <t>Yellow cells are inputs: change any of them and the P&amp;L, Scenarios and Check sheets update.</t>
        </is>
      </c>
    </row>
    <row r="3">
      <c r="A3" s="2" t="inlineStr">
        <is>
          <t>Selected team:</t>
        </is>
      </c>
      <c r="B3" s="3" t="inlineStr">
        <is>
          <t>CSK</t>
        </is>
      </c>
    </row>
    <row r="5">
      <c r="A5" s="4" t="inlineStr">
        <is>
          <t>Input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Status</t>
        </is>
      </c>
      <c r="E5" s="4" t="inlineStr">
        <is>
          <t>Source / reason</t>
        </is>
      </c>
    </row>
    <row r="6">
      <c r="A6" t="inlineStr">
        <is>
          <t>Central media rights, 2023-27 cycle</t>
        </is>
      </c>
      <c r="B6" s="3" t="n">
        <v>48390</v>
      </c>
      <c r="C6" t="inlineStr">
        <is>
          <t>INR cr</t>
        </is>
      </c>
      <c r="D6" t="inlineStr">
        <is>
          <t>verified</t>
        </is>
      </c>
      <c r="E6" t="inlineStr">
        <is>
          <t>https://scroll.in/field/1025995/ipl-media-rights-for-2023-27-sold-for-rs-48390-crore-star-india-win-tv-deal-viacom18-bag-digital</t>
        </is>
      </c>
    </row>
    <row r="7">
      <c r="A7" t="inlineStr">
        <is>
          <t>Seasons in media-rights cycle</t>
        </is>
      </c>
      <c r="B7" s="3" t="n">
        <v>5</v>
      </c>
      <c r="C7" t="inlineStr">
        <is>
          <t>seasons</t>
        </is>
      </c>
      <c r="D7" t="inlineStr">
        <is>
          <t>verified</t>
        </is>
      </c>
      <c r="E7" t="inlineStr">
        <is>
          <t>Same deal: 2023-2027</t>
        </is>
      </c>
    </row>
    <row r="8">
      <c r="A8" t="inlineStr">
        <is>
          <t>Franchise share of media rights</t>
        </is>
      </c>
      <c r="B8" s="3" t="n">
        <v>0.5</v>
      </c>
      <c r="C8" t="inlineStr">
        <is>
          <t>share</t>
        </is>
      </c>
      <c r="D8" t="inlineStr">
        <is>
          <t>assumption</t>
        </is>
      </c>
      <c r="E8" t="inlineStr">
        <is>
          <t>BCCI does not publish the split; secondary sources report 45-50% of central rights go to the 10 franchises (e.g. https://www.dezerv.in/newsletter/ipl-business-model-that-hit-sixer/). We use 50%.</t>
        </is>
      </c>
    </row>
    <row r="9">
      <c r="A9" t="inlineStr">
        <is>
          <t>Title sponsorship per season</t>
        </is>
      </c>
      <c r="B9" s="3" t="n">
        <v>500</v>
      </c>
      <c r="C9" t="inlineStr">
        <is>
          <t>INR cr</t>
        </is>
      </c>
      <c r="D9" t="inlineStr">
        <is>
          <t>verified</t>
        </is>
      </c>
      <c r="E9" t="inlineStr">
        <is>
          <t>Tata, 2024-2028, Rs 2,500 crore total - Wikipedia IPL article citing Times of India (19 Jan 2024)</t>
        </is>
      </c>
    </row>
    <row r="10">
      <c r="A10" t="inlineStr">
        <is>
          <t>Other central sponsorship per season</t>
        </is>
      </c>
      <c r="B10" s="3" t="n">
        <v>300</v>
      </c>
      <c r="C10" t="inlineStr">
        <is>
          <t>INR cr</t>
        </is>
      </c>
      <c r="D10" t="inlineStr">
        <is>
          <t>assumption</t>
        </is>
      </c>
      <c r="E10" t="inlineStr">
        <is>
          <t>Associate/official partner deals are not disclosed in total; order-of-magnitude estimate.</t>
        </is>
      </c>
    </row>
    <row r="11">
      <c r="A11" t="inlineStr">
        <is>
          <t>Franchise share of central sponsorship</t>
        </is>
      </c>
      <c r="B11" s="3" t="n">
        <v>0.5</v>
      </c>
      <c r="C11" t="inlineStr">
        <is>
          <t>share</t>
        </is>
      </c>
      <c r="D11" t="inlineStr">
        <is>
          <t>assumption</t>
        </is>
      </c>
      <c r="E11" t="inlineStr">
        <is>
          <t>Same reported 45-50% split as media rights.</t>
        </is>
      </c>
    </row>
    <row r="12">
      <c r="A12" t="inlineStr">
        <is>
          <t>Number of teams</t>
        </is>
      </c>
      <c r="B12" s="3" t="n">
        <v>10</v>
      </c>
      <c r="C12" t="inlineStr">
        <is>
          <t>teams</t>
        </is>
      </c>
      <c r="D12" t="inlineStr">
        <is>
          <t>verified</t>
        </is>
      </c>
      <c r="E12" t="inlineStr">
        <is>
          <t>IPL since 2022</t>
        </is>
      </c>
    </row>
    <row r="13">
      <c r="A13" t="inlineStr">
        <is>
          <t>Team sponsorship, average brand</t>
        </is>
      </c>
      <c r="B13" s="3" t="n">
        <v>75</v>
      </c>
      <c r="C13" t="inlineStr">
        <is>
          <t>INR cr</t>
        </is>
      </c>
      <c r="D13" t="inlineStr">
        <is>
          <t>assumption</t>
        </is>
      </c>
      <c r="E13" t="inlineStr">
        <is>
          <t xml:space="preserve">Calibrated so a top franchise totals ~Rs 650-700 crore revenue, the range Houlihan Lokey's IPL Valuation Study 2025 gives for top franchises. Scaled per team by brand value / league-average brand value.
</t>
        </is>
      </c>
    </row>
    <row r="14">
      <c r="A14" t="inlineStr">
        <is>
          <t>Merchandise, average brand</t>
        </is>
      </c>
      <c r="B14" s="3" t="n">
        <v>10</v>
      </c>
      <c r="C14" t="inlineStr">
        <is>
          <t>INR cr</t>
        </is>
      </c>
      <c r="D14" t="inlineStr">
        <is>
          <t>assumption</t>
        </is>
      </c>
      <c r="E14" t="inlineStr">
        <is>
          <t>Merchandise is small in Indian sport; scaled by brand value like sponsorship.</t>
        </is>
      </c>
    </row>
    <row r="15">
      <c r="A15" t="inlineStr">
        <is>
          <t>Home matches</t>
        </is>
      </c>
      <c r="B15" s="3" t="n">
        <v>7</v>
      </c>
      <c r="C15" t="inlineStr">
        <is>
          <t>matches</t>
        </is>
      </c>
      <c r="D15" t="inlineStr">
        <is>
          <t>verified</t>
        </is>
      </c>
      <c r="E15" t="inlineStr">
        <is>
          <t>14 league games, half at home (Cricsheet 2022-2026 schedule)</t>
        </is>
      </c>
    </row>
    <row r="16">
      <c r="A16" t="inlineStr">
        <is>
          <t>Stadium occupancy</t>
        </is>
      </c>
      <c r="B16" s="3" t="n">
        <v>0.9</v>
      </c>
      <c r="C16" t="inlineStr">
        <is>
          <t>share</t>
        </is>
      </c>
      <c r="D16" t="inlineStr">
        <is>
          <t>assumption</t>
        </is>
      </c>
      <c r="E16" t="inlineStr">
        <is>
          <t>IPL matches are routinely near sell-out; 90% leaves room for weaker fixtures.</t>
        </is>
      </c>
    </row>
    <row r="17">
      <c r="A17" t="inlineStr">
        <is>
          <t>Max sellable seats</t>
        </is>
      </c>
      <c r="B17" s="3" t="n">
        <v>60000</v>
      </c>
      <c r="C17" t="inlineStr">
        <is>
          <t>seats</t>
        </is>
      </c>
      <c r="D17" t="inlineStr">
        <is>
          <t>assumption</t>
        </is>
      </c>
      <c r="E17" t="inlineStr">
        <is>
          <t>Caps very large grounds (Ahmedabad 132k) at a realistic paid-ticket level.</t>
        </is>
      </c>
    </row>
    <row r="18">
      <c r="A18" t="inlineStr">
        <is>
          <t>Complimentary seat share</t>
        </is>
      </c>
      <c r="B18" s="3" t="n">
        <v>0.1</v>
      </c>
      <c r="C18" t="inlineStr">
        <is>
          <t>share</t>
        </is>
      </c>
      <c r="D18" t="inlineStr">
        <is>
          <t>assumption</t>
        </is>
      </c>
      <c r="E18" t="inlineStr">
        <is>
          <t>Seats reserved for state association, BCCI and sponsors.</t>
        </is>
      </c>
    </row>
    <row r="19">
      <c r="A19" t="inlineStr">
        <is>
          <t>Average ticket price</t>
        </is>
      </c>
      <c r="B19" s="3" t="n">
        <v>2500</v>
      </c>
      <c r="C19" t="inlineStr">
        <is>
          <t>INR</t>
        </is>
      </c>
      <c r="D19" t="inlineStr">
        <is>
          <t>assumption</t>
        </is>
      </c>
      <c r="E19" t="inlineStr">
        <is>
          <t>Blended price across stands (roughly Rs 750 to Rs 20,000+); same for all teams for simplicity.</t>
        </is>
      </c>
    </row>
    <row r="20">
      <c r="A20" t="inlineStr">
        <is>
          <t>Match-day cost per home match</t>
        </is>
      </c>
      <c r="B20" s="3" t="n">
        <v>1.5</v>
      </c>
      <c r="C20" t="inlineStr">
        <is>
          <t>INR cr</t>
        </is>
      </c>
      <c r="D20" t="inlineStr">
        <is>
          <t>assumption</t>
        </is>
      </c>
      <c r="E20" t="inlineStr">
        <is>
          <t>Stadium hire, security, operations paid to the hosting association.</t>
        </is>
      </c>
    </row>
    <row r="21">
      <c r="A21" t="inlineStr">
        <is>
          <t>Match fee per player per match</t>
        </is>
      </c>
      <c r="B21" s="3" t="n">
        <v>7.5</v>
      </c>
      <c r="C21" t="inlineStr">
        <is>
          <t>INR lakh</t>
        </is>
      </c>
      <c r="D21" t="inlineStr">
        <is>
          <t>verified</t>
        </is>
      </c>
      <c r="E21" t="inlineStr">
        <is>
          <t>https://timesofindia.indiatimes.com/sports/cricket/ipl/top-stories/explained-franchise-purse-for-ipl-2025-auction-and-the-new-match-fee-component/articleshow/113777845.cms</t>
        </is>
      </c>
    </row>
    <row r="22">
      <c r="A22" t="inlineStr">
        <is>
          <t>Players paid a match fee per match</t>
        </is>
      </c>
      <c r="B22" s="3" t="n">
        <v>12</v>
      </c>
      <c r="C22" t="inlineStr">
        <is>
          <t>players</t>
        </is>
      </c>
      <c r="D22" t="inlineStr">
        <is>
          <t>verified</t>
        </is>
      </c>
      <c r="E22" t="inlineStr">
        <is>
          <t>Playing XI + Impact Player each receive the match fee (rules.yaml: match_fee_lakh)</t>
        </is>
      </c>
    </row>
    <row r="23">
      <c r="A23" t="inlineStr">
        <is>
          <t>League matches per team</t>
        </is>
      </c>
      <c r="B23" s="3" t="n">
        <v>14</v>
      </c>
      <c r="C23" t="inlineStr">
        <is>
          <t>matches</t>
        </is>
      </c>
      <c r="D23" t="inlineStr">
        <is>
          <t>verified</t>
        </is>
      </c>
      <c r="E23" t="inlineStr">
        <is>
          <t>Cricsheet: 74-match seasons 2022-2026 (70 league + 4 playoffs)</t>
        </is>
      </c>
    </row>
    <row r="24">
      <c r="A24" t="inlineStr">
        <is>
          <t>Support staff</t>
        </is>
      </c>
      <c r="B24" s="3" t="n">
        <v>30</v>
      </c>
      <c r="C24" t="inlineStr">
        <is>
          <t>INR cr</t>
        </is>
      </c>
      <c r="D24" t="inlineStr">
        <is>
          <t>assumption</t>
        </is>
      </c>
      <c r="E24" t="inlineStr">
        <is>
          <t>Coaches, analysts, medical; not disclosed.</t>
        </is>
      </c>
    </row>
    <row r="25">
      <c r="A25" t="inlineStr">
        <is>
          <t>Operations &amp; admin</t>
        </is>
      </c>
      <c r="B25" s="3" t="n">
        <v>40</v>
      </c>
      <c r="C25" t="inlineStr">
        <is>
          <t>INR cr</t>
        </is>
      </c>
      <c r="D25" t="inlineStr">
        <is>
          <t>assumption</t>
        </is>
      </c>
      <c r="E25" t="inlineStr">
        <is>
          <t>Front office, academy, facilities; not disclosed.</t>
        </is>
      </c>
    </row>
    <row r="26">
      <c r="A26" t="inlineStr">
        <is>
          <t>Marketing</t>
        </is>
      </c>
      <c r="B26" s="3" t="n">
        <v>30</v>
      </c>
      <c r="C26" t="inlineStr">
        <is>
          <t>INR cr</t>
        </is>
      </c>
      <c r="D26" t="inlineStr">
        <is>
          <t>assumption</t>
        </is>
      </c>
      <c r="E26" t="inlineStr">
        <is>
          <t>Fan engagement and brand campaigns; not disclosed.</t>
        </is>
      </c>
    </row>
    <row r="27">
      <c r="A27" t="inlineStr">
        <is>
          <t>Travel</t>
        </is>
      </c>
      <c r="B27" s="3" t="n">
        <v>20</v>
      </c>
      <c r="C27" t="inlineStr">
        <is>
          <t>INR cr</t>
        </is>
      </c>
      <c r="D27" t="inlineStr">
        <is>
          <t>assumption</t>
        </is>
      </c>
      <c r="E27" t="inlineStr">
        <is>
          <t>Charter flights and hotels for ~45 people over ~8 weeks.</t>
        </is>
      </c>
    </row>
    <row r="28">
      <c r="A28" t="inlineStr">
        <is>
          <t>BCCI fee on team sponsorship + merch</t>
        </is>
      </c>
      <c r="B28" s="3" t="n">
        <v>0.2</v>
      </c>
      <c r="C28" t="inlineStr">
        <is>
          <t>share</t>
        </is>
      </c>
      <c r="D28" t="inlineStr">
        <is>
          <t>assumption</t>
        </is>
      </c>
      <c r="E28" t="inlineStr">
        <is>
          <t>Secondary sources report franchises pay BCCI 20% of revenue excluding tickets; terms are confidential, so we apply it only to team-generated revenue.</t>
        </is>
      </c>
    </row>
    <row r="29">
      <c r="A29" t="inlineStr">
        <is>
          <t>Prize money - winner</t>
        </is>
      </c>
      <c r="B29" s="3" t="n">
        <v>20</v>
      </c>
      <c r="C29" t="inlineStr">
        <is>
          <t>INR cr</t>
        </is>
      </c>
      <c r="D29" t="inlineStr">
        <is>
          <t>verified</t>
        </is>
      </c>
      <c r="E29" t="inlineStr">
        <is>
          <t>https://www.business-standard.com/cricket/ipl/ipl-2026-prize-money-how-much-money-does-the-winner-and-runner-up-win-126053100371_1.html (some outlets report Rs 13 crore for runner-up)</t>
        </is>
      </c>
    </row>
    <row r="30">
      <c r="A30" t="inlineStr">
        <is>
          <t>Prize money - runner-up</t>
        </is>
      </c>
      <c r="B30" s="3" t="n">
        <v>12.5</v>
      </c>
      <c r="C30" t="inlineStr">
        <is>
          <t>INR cr</t>
        </is>
      </c>
      <c r="D30" t="inlineStr">
        <is>
          <t>verified</t>
        </is>
      </c>
      <c r="E30" t="inlineStr">
        <is>
          <t>https://www.business-standard.com/cricket/ipl/ipl-2026-prize-money-how-much-money-does-the-winner-and-runner-up-win-126053100371_1.html (some outlets report Rs 13 crore for runner-up)</t>
        </is>
      </c>
    </row>
    <row r="31">
      <c r="A31" t="inlineStr">
        <is>
          <t>Prize money - 3rd</t>
        </is>
      </c>
      <c r="B31" s="3" t="n">
        <v>7</v>
      </c>
      <c r="C31" t="inlineStr">
        <is>
          <t>INR cr</t>
        </is>
      </c>
      <c r="D31" t="inlineStr">
        <is>
          <t>verified</t>
        </is>
      </c>
      <c r="E31" t="inlineStr">
        <is>
          <t>https://www.business-standard.com/cricket/ipl/ipl-2026-prize-money-how-much-money-does-the-winner-and-runner-up-win-126053100371_1.html (some outlets report Rs 13 crore for runner-up)</t>
        </is>
      </c>
    </row>
    <row r="32">
      <c r="A32" t="inlineStr">
        <is>
          <t>Prize money - 4th</t>
        </is>
      </c>
      <c r="B32" s="3" t="n">
        <v>6.5</v>
      </c>
      <c r="C32" t="inlineStr">
        <is>
          <t>INR cr</t>
        </is>
      </c>
      <c r="D32" t="inlineStr">
        <is>
          <t>verified</t>
        </is>
      </c>
      <c r="E32" t="inlineStr">
        <is>
          <t>https://www.business-standard.com/cricket/ipl/ipl-2026-prize-money-how-much-money-does-the-winner-and-runner-up-win-126053100371_1.html (some outlets report Rs 13 crore for runner-up)</t>
        </is>
      </c>
    </row>
    <row r="33">
      <c r="A33" t="inlineStr">
        <is>
          <t>Sponsorship uplift - made playoffs</t>
        </is>
      </c>
      <c r="B33" s="3" t="n">
        <v>0.05</v>
      </c>
      <c r="C33" t="inlineStr">
        <is>
          <t>share</t>
        </is>
      </c>
      <c r="D33" t="inlineStr">
        <is>
          <t>assumption</t>
        </is>
      </c>
      <c r="E33" t="inlineStr">
        <is>
          <t>Performance bonus clauses in sponsor contracts; not disclosed.</t>
        </is>
      </c>
    </row>
    <row r="34">
      <c r="A34" t="inlineStr">
        <is>
          <t>Sponsorship uplift - won title</t>
        </is>
      </c>
      <c r="B34" s="3" t="n">
        <v>0.15</v>
      </c>
      <c r="C34" t="inlineStr">
        <is>
          <t>share</t>
        </is>
      </c>
      <c r="D34" t="inlineStr">
        <is>
          <t>assumption</t>
        </is>
      </c>
      <c r="E34" t="inlineStr">
        <is>
          <t>Performance bonus clauses in sponsor contracts; not disclosed.</t>
        </is>
      </c>
    </row>
    <row r="35">
      <c r="A35" t="inlineStr">
        <is>
          <t>Merchandise uplift - made playoffs</t>
        </is>
      </c>
      <c r="B35" s="3" t="n">
        <v>0.15</v>
      </c>
      <c r="C35" t="inlineStr">
        <is>
          <t>share</t>
        </is>
      </c>
      <c r="D35" t="inlineStr">
        <is>
          <t>assumption</t>
        </is>
      </c>
      <c r="E35" t="inlineStr">
        <is>
          <t>Fan demand spikes with a playoff run / title.</t>
        </is>
      </c>
    </row>
    <row r="36">
      <c r="A36" t="inlineStr">
        <is>
          <t>Merchandise uplift - won title</t>
        </is>
      </c>
      <c r="B36" s="3" t="n">
        <v>0.4</v>
      </c>
      <c r="C36" t="inlineStr">
        <is>
          <t>share</t>
        </is>
      </c>
      <c r="D36" t="inlineStr">
        <is>
          <t>assumption</t>
        </is>
      </c>
      <c r="E36" t="inlineStr">
        <is>
          <t>Fan demand spikes with a playoff run / title.</t>
        </is>
      </c>
    </row>
    <row r="37">
      <c r="A37" t="inlineStr">
        <is>
          <t>Extra matches - made playoffs (non-winner)</t>
        </is>
      </c>
      <c r="B37" s="3" t="n">
        <v>2</v>
      </c>
      <c r="D37" t="inlineStr">
        <is>
          <t>assumption</t>
        </is>
      </c>
      <c r="E37" t="inlineStr">
        <is>
          <t>assumption: 1-3 playoff games</t>
        </is>
      </c>
    </row>
    <row r="38">
      <c r="A38" t="inlineStr">
        <is>
          <t>Extra matches - won title</t>
        </is>
      </c>
      <c r="B38" s="3" t="n">
        <v>2.5</v>
      </c>
      <c r="D38" t="inlineStr">
        <is>
          <t>assumption</t>
        </is>
      </c>
      <c r="E38" t="inlineStr">
        <is>
          <t>assumption: 2-3 playoff games</t>
        </is>
      </c>
    </row>
    <row r="39">
      <c r="A39" t="inlineStr">
        <is>
          <t>P(title | playoffs)</t>
        </is>
      </c>
      <c r="B39" s="3" t="n">
        <v>0.25</v>
      </c>
      <c r="D39" t="inlineStr">
        <is>
          <t>assumption</t>
        </is>
      </c>
      <c r="E39" t="inlineStr">
        <is>
          <t>Four teams reach the playoffs; we do not model playoff matchups.</t>
        </is>
      </c>
    </row>
  </sheetData>
  <dataValidations count="1">
    <dataValidation sqref="B3" showDropDown="0" showInputMessage="0" showErrorMessage="0" allowBlank="0" type="list">
      <formula1>"CSK,DC,GT,KKR,LSG,MI,PBKS,RR,RCB,SRH"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44" customWidth="1" min="4" max="4"/>
    <col width="11" customWidth="1" min="5" max="5"/>
    <col width="22" customWidth="1" min="6" max="6"/>
    <col width="24" customWidth="1" min="7" max="7"/>
    <col width="20" customWidth="1" min="8" max="8"/>
  </cols>
  <sheetData>
    <row r="1">
      <c r="A1" s="4" t="inlineStr">
        <is>
          <t>Team</t>
        </is>
      </c>
      <c r="B1" s="4" t="inlineStr">
        <is>
          <t>Franchise</t>
        </is>
      </c>
      <c r="C1" s="4" t="inlineStr">
        <is>
          <t>Brand value (USD m)</t>
        </is>
      </c>
      <c r="D1" s="4" t="inlineStr">
        <is>
          <t>Home ground</t>
        </is>
      </c>
      <c r="E1" s="4" t="inlineStr">
        <is>
          <t>Capacity</t>
        </is>
      </c>
      <c r="F1" s="4" t="inlineStr">
        <is>
          <t>Franchise fee (INR cr/yr)</t>
        </is>
      </c>
      <c r="G1" s="4" t="inlineStr">
        <is>
          <t>2026 squad salary (INR cr)</t>
        </is>
      </c>
      <c r="H1" s="4" t="inlineStr">
        <is>
          <t>Model playoff chance</t>
        </is>
      </c>
    </row>
    <row r="2">
      <c r="A2" t="inlineStr">
        <is>
          <t>CSK</t>
        </is>
      </c>
      <c r="B2" t="inlineStr">
        <is>
          <t>Chennai Super Kings</t>
        </is>
      </c>
      <c r="C2" s="3" t="n">
        <v>235</v>
      </c>
      <c r="D2" t="inlineStr">
        <is>
          <t>MA Chidambaram Stadium, Chennai</t>
        </is>
      </c>
      <c r="E2" s="3" t="n">
        <v>38200</v>
      </c>
      <c r="F2" s="3" t="n">
        <v>0</v>
      </c>
      <c r="G2" s="3" t="n">
        <v>120.6</v>
      </c>
      <c r="H2" s="3" t="n">
        <v>0.548</v>
      </c>
    </row>
    <row r="3">
      <c r="A3" t="inlineStr">
        <is>
          <t>DC</t>
        </is>
      </c>
      <c r="B3" t="inlineStr">
        <is>
          <t>Delhi Capitals</t>
        </is>
      </c>
      <c r="C3" s="3" t="n">
        <v>152</v>
      </c>
      <c r="D3" t="inlineStr">
        <is>
          <t>Arun Jaitley Stadium, Delhi</t>
        </is>
      </c>
      <c r="E3" s="3" t="n">
        <v>41000</v>
      </c>
      <c r="F3" s="3" t="n">
        <v>0</v>
      </c>
      <c r="G3" s="3" t="n">
        <v>121.2</v>
      </c>
      <c r="H3" s="3" t="n">
        <v>0.513</v>
      </c>
    </row>
    <row r="4">
      <c r="A4" t="inlineStr">
        <is>
          <t>GT</t>
        </is>
      </c>
      <c r="B4" t="inlineStr">
        <is>
          <t>Gujarat Titans</t>
        </is>
      </c>
      <c r="C4" s="3" t="n">
        <v>142</v>
      </c>
      <c r="D4" t="inlineStr">
        <is>
          <t>Narendra Modi Stadium, Ahmedabad</t>
        </is>
      </c>
      <c r="E4" s="3" t="n">
        <v>132000</v>
      </c>
      <c r="F4" s="3" t="n">
        <v>520</v>
      </c>
      <c r="G4" s="3" t="n">
        <v>123.05</v>
      </c>
      <c r="H4" s="3" t="n">
        <v>0.635</v>
      </c>
    </row>
    <row r="5">
      <c r="A5" t="inlineStr">
        <is>
          <t>KKR</t>
        </is>
      </c>
      <c r="B5" t="inlineStr">
        <is>
          <t>Kolkata Knight Riders</t>
        </is>
      </c>
      <c r="C5" s="3" t="n">
        <v>227</v>
      </c>
      <c r="D5" t="inlineStr">
        <is>
          <t>Eden Gardens, Kolkata</t>
        </is>
      </c>
      <c r="E5" s="3" t="n">
        <v>68000</v>
      </c>
      <c r="F5" s="3" t="n">
        <v>0</v>
      </c>
      <c r="G5" s="3" t="n">
        <v>118.55</v>
      </c>
      <c r="H5" s="3" t="n">
        <v>0.606</v>
      </c>
    </row>
    <row r="6">
      <c r="A6" t="inlineStr">
        <is>
          <t>LSG</t>
        </is>
      </c>
      <c r="B6" t="inlineStr">
        <is>
          <t>Lucknow Super Giants</t>
        </is>
      </c>
      <c r="C6" s="3" t="n">
        <v>122</v>
      </c>
      <c r="D6" t="inlineStr">
        <is>
          <t>Ekana Cricket Stadium, Lucknow</t>
        </is>
      </c>
      <c r="E6" s="3" t="n">
        <v>50100</v>
      </c>
      <c r="F6" s="3" t="n">
        <v>700</v>
      </c>
      <c r="G6" s="3" t="n">
        <v>120.45</v>
      </c>
      <c r="H6" s="3" t="n">
        <v>0.582</v>
      </c>
    </row>
    <row r="7">
      <c r="A7" t="inlineStr">
        <is>
          <t>MI</t>
        </is>
      </c>
      <c r="B7" t="inlineStr">
        <is>
          <t>Mumbai Indians</t>
        </is>
      </c>
      <c r="C7" s="3" t="n">
        <v>242</v>
      </c>
      <c r="D7" t="inlineStr">
        <is>
          <t>Wankhede Stadium, Mumbai</t>
        </is>
      </c>
      <c r="E7" s="3" t="n">
        <v>33100</v>
      </c>
      <c r="F7" s="3" t="n">
        <v>0</v>
      </c>
      <c r="G7" s="3" t="n">
        <v>124.45</v>
      </c>
      <c r="H7" s="3" t="n">
        <v>0.592</v>
      </c>
    </row>
    <row r="8">
      <c r="A8" t="inlineStr">
        <is>
          <t>PBKS</t>
        </is>
      </c>
      <c r="B8" t="inlineStr">
        <is>
          <t>Punjab Kings</t>
        </is>
      </c>
      <c r="C8" s="3" t="n">
        <v>141</v>
      </c>
      <c r="D8" t="inlineStr">
        <is>
          <t>Maharaja Yadavindra Singh Stadium, Mullanpur</t>
        </is>
      </c>
      <c r="E8" s="3" t="n">
        <v>38000</v>
      </c>
      <c r="F8" s="3" t="n">
        <v>0</v>
      </c>
      <c r="G8" s="3" t="n">
        <v>121.5</v>
      </c>
      <c r="H8" s="3" t="n">
        <v>0.5669999999999999</v>
      </c>
    </row>
    <row r="9">
      <c r="A9" t="inlineStr">
        <is>
          <t>RR</t>
        </is>
      </c>
      <c r="B9" t="inlineStr">
        <is>
          <t>Rajasthan Royals</t>
        </is>
      </c>
      <c r="C9" s="3" t="n">
        <v>146</v>
      </c>
      <c r="D9" t="inlineStr">
        <is>
          <t>Sawai Mansingh Stadium, Jaipur</t>
        </is>
      </c>
      <c r="E9" s="3" t="n">
        <v>30000</v>
      </c>
      <c r="F9" s="3" t="n">
        <v>0</v>
      </c>
      <c r="G9" s="3" t="n">
        <v>118.35</v>
      </c>
      <c r="H9" s="3" t="n">
        <v>0.616</v>
      </c>
    </row>
    <row r="10">
      <c r="A10" t="inlineStr">
        <is>
          <t>RCB</t>
        </is>
      </c>
      <c r="B10" t="inlineStr">
        <is>
          <t>Royal Challengers Bengaluru</t>
        </is>
      </c>
      <c r="C10" s="3" t="n">
        <v>269</v>
      </c>
      <c r="D10" t="inlineStr">
        <is>
          <t>M Chinnaswamy Stadium, Bengaluru</t>
        </is>
      </c>
      <c r="E10" s="3" t="n">
        <v>40000</v>
      </c>
      <c r="F10" s="3" t="n">
        <v>0</v>
      </c>
      <c r="G10" s="3" t="n">
        <v>124.75</v>
      </c>
      <c r="H10" s="3" t="n">
        <v>0.704</v>
      </c>
    </row>
    <row r="11">
      <c r="A11" t="inlineStr">
        <is>
          <t>SRH</t>
        </is>
      </c>
      <c r="B11" t="inlineStr">
        <is>
          <t>Sunrisers Hyderabad</t>
        </is>
      </c>
      <c r="C11" s="3" t="n">
        <v>154</v>
      </c>
      <c r="D11" t="inlineStr">
        <is>
          <t>Rajiv Gandhi Intl Stadium, Hyderabad</t>
        </is>
      </c>
      <c r="E11" s="3" t="n">
        <v>39200</v>
      </c>
      <c r="F11" s="3" t="n">
        <v>0</v>
      </c>
      <c r="G11" s="3" t="n">
        <v>119.55</v>
      </c>
      <c r="H11" s="3" t="n">
        <v>0.598</v>
      </c>
    </row>
    <row r="13">
      <c r="A13" t="inlineStr">
        <is>
          <t>Sources: brand values - Houlihan Lokey IPL Valuation Study 2025; capacities - Wikipedia stadium pages; home ground derived from 2026 fixtures; salary from 2026 retention + auction records; playoff chance from src/impact_model.py.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62" customWidth="1" min="5" max="5"/>
  </cols>
  <sheetData>
    <row r="1">
      <c r="A1" s="1" t="inlineStr">
        <is>
          <t>Franchise P&amp;L - INR crore per season</t>
        </is>
      </c>
    </row>
    <row r="2">
      <c r="A2">
        <f>"Team: "&amp;sel_team</f>
        <v/>
      </c>
    </row>
    <row r="4">
      <c r="A4" s="4" t="inlineStr">
        <is>
          <t>Line</t>
        </is>
      </c>
      <c r="B4" s="4" t="inlineStr">
        <is>
          <t>Missed playoffs</t>
        </is>
      </c>
      <c r="C4" s="4" t="inlineStr">
        <is>
          <t>Made playoffs</t>
        </is>
      </c>
      <c r="D4" s="4" t="inlineStr">
        <is>
          <t>Won title</t>
        </is>
      </c>
      <c r="E4" s="4" t="inlineStr">
        <is>
          <t>How it is calculated</t>
        </is>
      </c>
    </row>
    <row r="5">
      <c r="A5" t="inlineStr">
        <is>
          <t>Brand index (team / league avg)</t>
        </is>
      </c>
      <c r="B5" s="5">
        <f>INDEX(t_brand,MATCH(sel_team,t_code,0))/AVERAGE(t_brand)</f>
        <v/>
      </c>
    </row>
    <row r="6">
      <c r="A6" t="inlineStr">
        <is>
          <t>Stadium capacity</t>
        </is>
      </c>
      <c r="B6" s="5">
        <f>INDEX(t_capacity,MATCH(sel_team,t_code,0))</f>
        <v/>
      </c>
    </row>
    <row r="7">
      <c r="A7" t="inlineStr">
        <is>
          <t>Player salaries (INR cr)</t>
        </is>
      </c>
      <c r="B7" s="5">
        <f>INDEX(t_salary,MATCH(sel_team,t_code,0))</f>
        <v/>
      </c>
    </row>
    <row r="8">
      <c r="A8" t="inlineStr">
        <is>
          <t>Franchise fee (INR cr)</t>
        </is>
      </c>
      <c r="B8" s="5">
        <f>INDEX(t_fee,MATCH(sel_team,t_code,0))</f>
        <v/>
      </c>
    </row>
    <row r="10">
      <c r="A10" s="6" t="inlineStr">
        <is>
          <t>REVENUE</t>
        </is>
      </c>
    </row>
    <row r="11">
      <c r="A11" t="inlineStr">
        <is>
          <t>Central media rights share</t>
        </is>
      </c>
      <c r="B11" s="7">
        <f>media_rights_total/media_rights_seasons*share_media/n_teams</f>
        <v/>
      </c>
      <c r="C11" s="7">
        <f>media_rights_total/media_rights_seasons*share_media/n_teams</f>
        <v/>
      </c>
      <c r="D11" s="7">
        <f>media_rights_total/media_rights_seasons*share_media/n_teams</f>
        <v/>
      </c>
      <c r="E11" s="8" t="inlineStr">
        <is>
          <t>Cycle value / seasons x franchise share / 10 teams</t>
        </is>
      </c>
    </row>
    <row r="12">
      <c r="A12" t="inlineStr">
        <is>
          <t>Central sponsorship share</t>
        </is>
      </c>
      <c r="B12" s="7">
        <f>(title_spons+other_central_spons)*share_spons/n_teams</f>
        <v/>
      </c>
      <c r="C12" s="7">
        <f>(title_spons+other_central_spons)*share_spons/n_teams</f>
        <v/>
      </c>
      <c r="D12" s="7">
        <f>(title_spons+other_central_spons)*share_spons/n_teams</f>
        <v/>
      </c>
      <c r="E12" s="8" t="inlineStr">
        <is>
          <t>(Title + other central sponsors) x franchise share / 10</t>
        </is>
      </c>
    </row>
    <row r="13">
      <c r="A13" t="inlineStr">
        <is>
          <t>Team sponsorships</t>
        </is>
      </c>
      <c r="B13" s="7">
        <f>team_spons_base*brand_index*(1+0)</f>
        <v/>
      </c>
      <c r="C13" s="7">
        <f>team_spons_base*brand_index*(1+spons_up_playoffs)</f>
        <v/>
      </c>
      <c r="D13" s="7">
        <f>team_spons_base*brand_index*(1+spons_up_title)</f>
        <v/>
      </c>
      <c r="E13" s="8" t="inlineStr">
        <is>
          <t>Base x brand index x (1 + performance uplift)</t>
        </is>
      </c>
    </row>
    <row r="14">
      <c r="A14" t="inlineStr">
        <is>
          <t>Ticketing (home matches)</t>
        </is>
      </c>
      <c r="B14" s="7">
        <f>home_matches*MIN(capacity,max_seats)*occupancy*(1-comp_share)*ticket_price/10^7</f>
        <v/>
      </c>
      <c r="C14" s="7">
        <f>home_matches*MIN(capacity,max_seats)*occupancy*(1-comp_share)*ticket_price/10^7</f>
        <v/>
      </c>
      <c r="D14" s="7">
        <f>home_matches*MIN(capacity,max_seats)*occupancy*(1-comp_share)*ticket_price/10^7</f>
        <v/>
      </c>
      <c r="E14" s="8" t="inlineStr">
        <is>
          <t>Home matches x sellable seats x occupancy x paid share x price</t>
        </is>
      </c>
    </row>
    <row r="15">
      <c r="A15" t="inlineStr">
        <is>
          <t>Merchandise</t>
        </is>
      </c>
      <c r="B15" s="7">
        <f>merch_base*brand_index*(1+0)</f>
        <v/>
      </c>
      <c r="C15" s="7">
        <f>merch_base*brand_index*(1+merch_up_playoffs)</f>
        <v/>
      </c>
      <c r="D15" s="7">
        <f>merch_base*brand_index*(1+merch_up_title)</f>
        <v/>
      </c>
      <c r="E15" s="8" t="inlineStr">
        <is>
          <t>Base x brand index x (1 + uplift)</t>
        </is>
      </c>
    </row>
    <row r="16">
      <c r="A16" t="inlineStr">
        <is>
          <t>Prize money</t>
        </is>
      </c>
      <c r="B16" s="7">
        <f>0</f>
        <v/>
      </c>
      <c r="C16" s="7">
        <f>(prize_runner+prize_third+prize_fourth)/3</f>
        <v/>
      </c>
      <c r="D16" s="7">
        <f>prize_winner</f>
        <v/>
      </c>
      <c r="E16" s="8" t="inlineStr">
        <is>
          <t>BCCI prize pot by finish</t>
        </is>
      </c>
    </row>
    <row r="17">
      <c r="A17" s="2" t="inlineStr">
        <is>
          <t>Total revenue</t>
        </is>
      </c>
      <c r="B17" s="9">
        <f>SUM(B11:B16)</f>
        <v/>
      </c>
      <c r="C17" s="9">
        <f>SUM(C11:C16)</f>
        <v/>
      </c>
      <c r="D17" s="9">
        <f>SUM(D11:D16)</f>
        <v/>
      </c>
      <c r="E17" s="8" t="inlineStr">
        <is>
          <t>Sum of revenue lines</t>
        </is>
      </c>
    </row>
    <row r="18">
      <c r="A18" s="6" t="inlineStr">
        <is>
          <t>COSTS</t>
        </is>
      </c>
    </row>
    <row r="19">
      <c r="A19" t="inlineStr">
        <is>
          <t>Player salaries</t>
        </is>
      </c>
      <c r="B19" s="7">
        <f>salary</f>
        <v/>
      </c>
      <c r="C19" s="7">
        <f>salary</f>
        <v/>
      </c>
      <c r="D19" s="7">
        <f>salary</f>
        <v/>
      </c>
      <c r="E19" s="8" t="inlineStr">
        <is>
          <t>2026 squad salary bill (Teams sheet)</t>
        </is>
      </c>
    </row>
    <row r="20">
      <c r="A20" t="inlineStr">
        <is>
          <t>Match fees</t>
        </is>
      </c>
      <c r="B20" s="7">
        <f>match_fee_lakh*match_fee_players*(league_matches+0)/100</f>
        <v/>
      </c>
      <c r="C20" s="7">
        <f>match_fee_lakh*match_fee_players*(league_matches+po_games_playoffs)/100</f>
        <v/>
      </c>
      <c r="D20" s="7">
        <f>match_fee_lakh*match_fee_players*(league_matches+po_games_title)/100</f>
        <v/>
      </c>
      <c r="E20" s="8" t="inlineStr">
        <is>
          <t>Fee x 12 players x matches played</t>
        </is>
      </c>
    </row>
    <row r="21">
      <c r="A21" t="inlineStr">
        <is>
          <t>Support staff</t>
        </is>
      </c>
      <c r="B21" s="7">
        <f>support_staff</f>
        <v/>
      </c>
      <c r="C21" s="7">
        <f>support_staff</f>
        <v/>
      </c>
      <c r="D21" s="7">
        <f>support_staff</f>
        <v/>
      </c>
      <c r="E21" s="8" t="inlineStr">
        <is>
          <t>Input</t>
        </is>
      </c>
    </row>
    <row r="22">
      <c r="A22" t="inlineStr">
        <is>
          <t>Operations &amp; admin</t>
        </is>
      </c>
      <c r="B22" s="7">
        <f>ops_admin</f>
        <v/>
      </c>
      <c r="C22" s="7">
        <f>ops_admin</f>
        <v/>
      </c>
      <c r="D22" s="7">
        <f>ops_admin</f>
        <v/>
      </c>
      <c r="E22" s="8" t="inlineStr">
        <is>
          <t>Input</t>
        </is>
      </c>
    </row>
    <row r="23">
      <c r="A23" t="inlineStr">
        <is>
          <t>Marketing</t>
        </is>
      </c>
      <c r="B23" s="7">
        <f>marketing</f>
        <v/>
      </c>
      <c r="C23" s="7">
        <f>marketing</f>
        <v/>
      </c>
      <c r="D23" s="7">
        <f>marketing</f>
        <v/>
      </c>
      <c r="E23" s="8" t="inlineStr">
        <is>
          <t>Input</t>
        </is>
      </c>
    </row>
    <row r="24">
      <c r="A24" t="inlineStr">
        <is>
          <t>Travel</t>
        </is>
      </c>
      <c r="B24" s="7">
        <f>travel</f>
        <v/>
      </c>
      <c r="C24" s="7">
        <f>travel</f>
        <v/>
      </c>
      <c r="D24" s="7">
        <f>travel</f>
        <v/>
      </c>
      <c r="E24" s="8" t="inlineStr">
        <is>
          <t>Input</t>
        </is>
      </c>
    </row>
    <row r="25">
      <c r="A25" t="inlineStr">
        <is>
          <t>Match-day costs</t>
        </is>
      </c>
      <c r="B25" s="7">
        <f>match_day_cost*home_matches</f>
        <v/>
      </c>
      <c r="C25" s="7">
        <f>match_day_cost*home_matches</f>
        <v/>
      </c>
      <c r="D25" s="7">
        <f>match_day_cost*home_matches</f>
        <v/>
      </c>
      <c r="E25" s="8" t="inlineStr">
        <is>
          <t>Cost per home match x home matches</t>
        </is>
      </c>
    </row>
    <row r="26">
      <c r="A26" t="inlineStr">
        <is>
          <t>BCCI fee on team revenue</t>
        </is>
      </c>
      <c r="B26" s="7">
        <f>bcci_fee_share*(B13+B15)</f>
        <v/>
      </c>
      <c r="C26" s="7">
        <f>bcci_fee_share*(C13+C15)</f>
        <v/>
      </c>
      <c r="D26" s="7">
        <f>bcci_fee_share*(D13+D15)</f>
        <v/>
      </c>
      <c r="E26" s="8" t="inlineStr">
        <is>
          <t>Share x (team sponsorships + merchandise)</t>
        </is>
      </c>
    </row>
    <row r="27">
      <c r="A27" s="2" t="inlineStr">
        <is>
          <t>Total operating costs</t>
        </is>
      </c>
      <c r="B27" s="9">
        <f>SUM(B19:B26)</f>
        <v/>
      </c>
      <c r="C27" s="9">
        <f>SUM(C19:C26)</f>
        <v/>
      </c>
      <c r="D27" s="9">
        <f>SUM(D19:D26)</f>
        <v/>
      </c>
      <c r="E27" s="8" t="inlineStr">
        <is>
          <t>Sum of cost lines</t>
        </is>
      </c>
    </row>
    <row r="28">
      <c r="A28" s="6" t="inlineStr">
        <is>
          <t>PROFIT</t>
        </is>
      </c>
    </row>
    <row r="29">
      <c r="A29" s="2" t="inlineStr">
        <is>
          <t>Operating profit</t>
        </is>
      </c>
      <c r="B29" s="9">
        <f>B17-B27</f>
        <v/>
      </c>
      <c r="C29" s="9">
        <f>C17-C27</f>
        <v/>
      </c>
      <c r="D29" s="9">
        <f>D17-D27</f>
        <v/>
      </c>
      <c r="E29" s="8" t="inlineStr">
        <is>
          <t>Total revenue - total operating costs</t>
        </is>
      </c>
    </row>
    <row r="30">
      <c r="A30" t="inlineStr">
        <is>
          <t>Operating margin</t>
        </is>
      </c>
      <c r="B30" s="10">
        <f>B29/B17</f>
        <v/>
      </c>
      <c r="C30" s="10">
        <f>C29/C17</f>
        <v/>
      </c>
      <c r="D30" s="10">
        <f>D29/D17</f>
        <v/>
      </c>
      <c r="E30" s="8" t="inlineStr">
        <is>
          <t>Operating profit / revenue</t>
        </is>
      </c>
    </row>
    <row r="31">
      <c r="A31" t="inlineStr">
        <is>
          <t>Franchise fee instalment (assumption)</t>
        </is>
      </c>
      <c r="B31" s="7">
        <f>fee</f>
        <v/>
      </c>
      <c r="C31" s="7">
        <f>fee</f>
        <v/>
      </c>
      <c r="D31" s="7">
        <f>fee</f>
        <v/>
      </c>
      <c r="E31" s="8" t="inlineStr">
        <is>
          <t>LSG/GT 2021 bid / 10 years (assumption)</t>
        </is>
      </c>
    </row>
    <row r="32">
      <c r="A32" s="2" t="inlineStr">
        <is>
          <t>Profit after franchise fee</t>
        </is>
      </c>
      <c r="B32" s="9">
        <f>B29-B31</f>
        <v/>
      </c>
      <c r="C32" s="9">
        <f>C29-C31</f>
        <v/>
      </c>
      <c r="D32" s="9">
        <f>D29-D31</f>
        <v/>
      </c>
      <c r="E32" s="8" t="inlineStr">
        <is>
          <t>Operating profit - franchise fee</t>
        </is>
      </c>
    </row>
    <row r="33">
      <c r="A33" t="inlineStr">
        <is>
          <t>Central (fixed) share of revenue</t>
        </is>
      </c>
      <c r="B33" s="10">
        <f>(B11+B12)/B17</f>
        <v/>
      </c>
      <c r="C33" s="10">
        <f>(C11+C12)/C17</f>
        <v/>
      </c>
      <c r="D33" s="10">
        <f>(D11+D12)/D17</f>
        <v/>
      </c>
      <c r="E33" s="8" t="inlineStr">
        <is>
          <t>Central income / total revenue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8" customWidth="1" min="4" max="4"/>
  </cols>
  <sheetData>
    <row r="1">
      <c r="A1" s="1" t="inlineStr">
        <is>
          <t>What is performance worth? Probability-weighted P&amp;L</t>
        </is>
      </c>
    </row>
    <row r="3">
      <c r="A3" t="inlineStr">
        <is>
          <t>P(make playoffs)</t>
        </is>
      </c>
      <c r="B3" s="3">
        <f>INDEX(t_playoff,MATCH(sel_team,t_code,0))</f>
        <v/>
      </c>
      <c r="C3" t="inlineStr">
        <is>
          <t>Defaults to the model's chance for the current squad; overwrite to test.</t>
        </is>
      </c>
    </row>
    <row r="4">
      <c r="A4" t="inlineStr">
        <is>
          <t>P(title)</t>
        </is>
      </c>
      <c r="B4">
        <f>B3*title_given_playoffs</f>
        <v/>
      </c>
    </row>
    <row r="6">
      <c r="A6" s="4" t="inlineStr">
        <is>
          <t>Scenario</t>
        </is>
      </c>
      <c r="B6" s="4" t="inlineStr">
        <is>
          <t>Probability</t>
        </is>
      </c>
      <c r="C6" s="4" t="inlineStr">
        <is>
          <t>Revenue</t>
        </is>
      </c>
      <c r="D6" s="4" t="inlineStr">
        <is>
          <t>Operating profit</t>
        </is>
      </c>
    </row>
    <row r="7">
      <c r="A7" t="inlineStr">
        <is>
          <t>Missed playoffs</t>
        </is>
      </c>
      <c r="B7" s="11">
        <f>1-B3</f>
        <v/>
      </c>
      <c r="C7" s="12">
        <f>'P&amp;L'!B17</f>
        <v/>
      </c>
      <c r="D7" s="12">
        <f>'P&amp;L'!B29</f>
        <v/>
      </c>
    </row>
    <row r="8">
      <c r="A8" t="inlineStr">
        <is>
          <t>Made playoffs (no title)</t>
        </is>
      </c>
      <c r="B8" s="11">
        <f>B3-B4</f>
        <v/>
      </c>
      <c r="C8" s="12">
        <f>'P&amp;L'!C17</f>
        <v/>
      </c>
      <c r="D8" s="12">
        <f>'P&amp;L'!C29</f>
        <v/>
      </c>
    </row>
    <row r="9">
      <c r="A9" t="inlineStr">
        <is>
          <t>Won title</t>
        </is>
      </c>
      <c r="B9" s="11">
        <f>B4</f>
        <v/>
      </c>
      <c r="C9" s="12">
        <f>'P&amp;L'!D17</f>
        <v/>
      </c>
      <c r="D9" s="12">
        <f>'P&amp;L'!D29</f>
        <v/>
      </c>
    </row>
    <row r="10">
      <c r="A10" s="2" t="inlineStr">
        <is>
          <t>Expected value</t>
        </is>
      </c>
      <c r="C10" s="12">
        <f>SUMPRODUCT(B7:B9,C7:C9)</f>
        <v/>
      </c>
      <c r="D10" s="12">
        <f>SUMPRODUCT(B7:B9,D7:D9)</f>
        <v/>
      </c>
    </row>
    <row r="12">
      <c r="A12" t="inlineStr">
        <is>
          <t>Revenue at stake: title vs missed playoffs</t>
        </is>
      </c>
      <c r="C12" s="12">
        <f>C9-C7</f>
        <v/>
      </c>
    </row>
    <row r="13">
      <c r="A13" t="inlineStr">
        <is>
          <t>...as % of missed-playoffs revenue</t>
        </is>
      </c>
      <c r="C13" s="11">
        <f>C12/C7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14" customWidth="1" min="4" max="4"/>
    <col width="22" customWidth="1" min="5" max="5"/>
    <col width="14" customWidth="1" min="6" max="6"/>
  </cols>
  <sheetData>
    <row r="1">
      <c r="A1" s="1" t="inlineStr">
        <is>
          <t>Python vs Excel (base case, default inputs)</t>
        </is>
      </c>
    </row>
    <row r="2">
      <c r="A2" t="inlineStr">
        <is>
          <t>Python values come from src/economics.py with the same default inputs. If you change an input, Excel will differ from these stored values - that is expected.</t>
        </is>
      </c>
    </row>
    <row r="4">
      <c r="A4" s="4" t="inlineStr">
        <is>
          <t>Team</t>
        </is>
      </c>
      <c r="B4" s="4" t="inlineStr">
        <is>
          <t>Line</t>
        </is>
      </c>
      <c r="C4" s="4" t="inlineStr">
        <is>
          <t>Scenario</t>
        </is>
      </c>
      <c r="D4" s="4" t="inlineStr">
        <is>
          <t>Python</t>
        </is>
      </c>
      <c r="E4" s="4" t="inlineStr">
        <is>
          <t>Excel (selected team)</t>
        </is>
      </c>
      <c r="F4" s="4" t="inlineStr">
        <is>
          <t>Difference</t>
        </is>
      </c>
    </row>
    <row r="5">
      <c r="A5" t="inlineStr">
        <is>
          <t>CSK</t>
        </is>
      </c>
      <c r="B5" t="inlineStr">
        <is>
          <t>Total revenue</t>
        </is>
      </c>
      <c r="C5" t="inlineStr">
        <is>
          <t>missed_playoffs</t>
        </is>
      </c>
      <c r="D5" s="13" t="n">
        <v>687.2015</v>
      </c>
      <c r="E5" s="13">
        <f>IF(A5=sel_team,'P&amp;L'!B17,"")</f>
        <v/>
      </c>
      <c r="F5" s="13">
        <f>IF(E5="","",E5-D5)</f>
        <v/>
      </c>
    </row>
    <row r="6">
      <c r="A6" t="inlineStr">
        <is>
          <t>CSK</t>
        </is>
      </c>
      <c r="B6" t="inlineStr">
        <is>
          <t>Total operating costs</t>
        </is>
      </c>
      <c r="C6" t="inlineStr">
        <is>
          <t>missed_playoffs</t>
        </is>
      </c>
      <c r="D6" s="13" t="n">
        <v>285.5306</v>
      </c>
      <c r="E6" s="13">
        <f>IF(A6=sel_team,'P&amp;L'!B27,"")</f>
        <v/>
      </c>
      <c r="F6" s="13">
        <f>IF(E6="","",E6-D6)</f>
        <v/>
      </c>
    </row>
    <row r="7">
      <c r="A7" t="inlineStr">
        <is>
          <t>CSK</t>
        </is>
      </c>
      <c r="B7" t="inlineStr">
        <is>
          <t>Operating profit</t>
        </is>
      </c>
      <c r="C7" t="inlineStr">
        <is>
          <t>missed_playoffs</t>
        </is>
      </c>
      <c r="D7" s="13" t="n">
        <v>401.6709</v>
      </c>
      <c r="E7" s="13">
        <f>IF(A7=sel_team,'P&amp;L'!B29,"")</f>
        <v/>
      </c>
      <c r="F7" s="13">
        <f>IF(E7="","",E7-D7)</f>
        <v/>
      </c>
    </row>
    <row r="8">
      <c r="A8" t="inlineStr">
        <is>
          <t>CSK</t>
        </is>
      </c>
      <c r="B8" t="inlineStr">
        <is>
          <t>Total revenue</t>
        </is>
      </c>
      <c r="C8" t="inlineStr">
        <is>
          <t>made_playoffs</t>
        </is>
      </c>
      <c r="D8" s="13" t="n">
        <v>702.61</v>
      </c>
      <c r="E8" s="13">
        <f>IF(A8=sel_team,'P&amp;L'!C17,"")</f>
        <v/>
      </c>
      <c r="F8" s="13">
        <f>IF(E8="","",E8-D8)</f>
        <v/>
      </c>
    </row>
    <row r="9">
      <c r="A9" t="inlineStr">
        <is>
          <t>CSK</t>
        </is>
      </c>
      <c r="B9" t="inlineStr">
        <is>
          <t>Total operating costs</t>
        </is>
      </c>
      <c r="C9" t="inlineStr">
        <is>
          <t>made_playoffs</t>
        </is>
      </c>
      <c r="D9" s="13" t="n">
        <v>288.679</v>
      </c>
      <c r="E9" s="13">
        <f>IF(A9=sel_team,'P&amp;L'!C27,"")</f>
        <v/>
      </c>
      <c r="F9" s="13">
        <f>IF(E9="","",E9-D9)</f>
        <v/>
      </c>
    </row>
    <row r="10">
      <c r="A10" t="inlineStr">
        <is>
          <t>CSK</t>
        </is>
      </c>
      <c r="B10" t="inlineStr">
        <is>
          <t>Operating profit</t>
        </is>
      </c>
      <c r="C10" t="inlineStr">
        <is>
          <t>made_playoffs</t>
        </is>
      </c>
      <c r="D10" s="13" t="n">
        <v>413.931</v>
      </c>
      <c r="E10" s="13">
        <f>IF(A10=sel_team,'P&amp;L'!C29,"")</f>
        <v/>
      </c>
      <c r="F10" s="13">
        <f>IF(E10="","",E10-D10)</f>
        <v/>
      </c>
    </row>
    <row r="11">
      <c r="A11" t="inlineStr">
        <is>
          <t>CSK</t>
        </is>
      </c>
      <c r="B11" t="inlineStr">
        <is>
          <t>Total revenue</t>
        </is>
      </c>
      <c r="C11" t="inlineStr">
        <is>
          <t>won_title</t>
        </is>
      </c>
      <c r="D11" s="13" t="n">
        <v>726.7848</v>
      </c>
      <c r="E11" s="13">
        <f>IF(A11=sel_team,'P&amp;L'!D17,"")</f>
        <v/>
      </c>
      <c r="F11" s="13">
        <f>IF(E11="","",E11-D11)</f>
        <v/>
      </c>
    </row>
    <row r="12">
      <c r="A12" t="inlineStr">
        <is>
          <t>CSK</t>
        </is>
      </c>
      <c r="B12" t="inlineStr">
        <is>
          <t>Total operating costs</t>
        </is>
      </c>
      <c r="C12" t="inlineStr">
        <is>
          <t>won_title</t>
        </is>
      </c>
      <c r="D12" s="13" t="n">
        <v>291.6973</v>
      </c>
      <c r="E12" s="13">
        <f>IF(A12=sel_team,'P&amp;L'!D27,"")</f>
        <v/>
      </c>
      <c r="F12" s="13">
        <f>IF(E12="","",E12-D12)</f>
        <v/>
      </c>
    </row>
    <row r="13">
      <c r="A13" t="inlineStr">
        <is>
          <t>CSK</t>
        </is>
      </c>
      <c r="B13" t="inlineStr">
        <is>
          <t>Operating profit</t>
        </is>
      </c>
      <c r="C13" t="inlineStr">
        <is>
          <t>won_title</t>
        </is>
      </c>
      <c r="D13" s="13" t="n">
        <v>435.0876</v>
      </c>
      <c r="E13" s="13">
        <f>IF(A13=sel_team,'P&amp;L'!D29,"")</f>
        <v/>
      </c>
      <c r="F13" s="13">
        <f>IF(E13="","",E13-D13)</f>
        <v/>
      </c>
    </row>
    <row r="14">
      <c r="A14" t="inlineStr">
        <is>
          <t>DC</t>
        </is>
      </c>
      <c r="B14" t="inlineStr">
        <is>
          <t>Total revenue</t>
        </is>
      </c>
      <c r="C14" t="inlineStr">
        <is>
          <t>missed_playoffs</t>
        </is>
      </c>
      <c r="D14" s="13" t="n">
        <v>652.6186</v>
      </c>
      <c r="E14" s="13">
        <f>IF(A14=sel_team,'P&amp;L'!B17,"")</f>
        <v/>
      </c>
      <c r="F14" s="13">
        <f>IF(E14="","",E14-D14)</f>
        <v/>
      </c>
    </row>
    <row r="15">
      <c r="A15" t="inlineStr">
        <is>
          <t>DC</t>
        </is>
      </c>
      <c r="B15" t="inlineStr">
        <is>
          <t>Total operating costs</t>
        </is>
      </c>
      <c r="C15" t="inlineStr">
        <is>
          <t>missed_playoffs</t>
        </is>
      </c>
      <c r="D15" s="13" t="n">
        <v>278.4202</v>
      </c>
      <c r="E15" s="13">
        <f>IF(A15=sel_team,'P&amp;L'!B27,"")</f>
        <v/>
      </c>
      <c r="F15" s="13">
        <f>IF(E15="","",E15-D15)</f>
        <v/>
      </c>
    </row>
    <row r="16">
      <c r="A16" t="inlineStr">
        <is>
          <t>DC</t>
        </is>
      </c>
      <c r="B16" t="inlineStr">
        <is>
          <t>Operating profit</t>
        </is>
      </c>
      <c r="C16" t="inlineStr">
        <is>
          <t>missed_playoffs</t>
        </is>
      </c>
      <c r="D16" s="13" t="n">
        <v>374.1984</v>
      </c>
      <c r="E16" s="13">
        <f>IF(A16=sel_team,'P&amp;L'!B29,"")</f>
        <v/>
      </c>
      <c r="F16" s="13">
        <f>IF(E16="","",E16-D16)</f>
        <v/>
      </c>
    </row>
    <row r="17">
      <c r="A17" t="inlineStr">
        <is>
          <t>DC</t>
        </is>
      </c>
      <c r="B17" t="inlineStr">
        <is>
          <t>Total revenue</t>
        </is>
      </c>
      <c r="C17" t="inlineStr">
        <is>
          <t>made_playoffs</t>
        </is>
      </c>
      <c r="D17" s="13" t="n">
        <v>665.6459</v>
      </c>
      <c r="E17" s="13">
        <f>IF(A17=sel_team,'P&amp;L'!C17,"")</f>
        <v/>
      </c>
      <c r="F17" s="13">
        <f>IF(E17="","",E17-D17)</f>
        <v/>
      </c>
    </row>
    <row r="18">
      <c r="A18" t="inlineStr">
        <is>
          <t>DC</t>
        </is>
      </c>
      <c r="B18" t="inlineStr">
        <is>
          <t>Total operating costs</t>
        </is>
      </c>
      <c r="C18" t="inlineStr">
        <is>
          <t>made_playoffs</t>
        </is>
      </c>
      <c r="D18" s="13" t="n">
        <v>281.0923</v>
      </c>
      <c r="E18" s="13">
        <f>IF(A18=sel_team,'P&amp;L'!C27,"")</f>
        <v/>
      </c>
      <c r="F18" s="13">
        <f>IF(E18="","",E18-D18)</f>
        <v/>
      </c>
    </row>
    <row r="19">
      <c r="A19" t="inlineStr">
        <is>
          <t>DC</t>
        </is>
      </c>
      <c r="B19" t="inlineStr">
        <is>
          <t>Operating profit</t>
        </is>
      </c>
      <c r="C19" t="inlineStr">
        <is>
          <t>made_playoffs</t>
        </is>
      </c>
      <c r="D19" s="13" t="n">
        <v>384.5536</v>
      </c>
      <c r="E19" s="13">
        <f>IF(A19=sel_team,'P&amp;L'!C29,"")</f>
        <v/>
      </c>
      <c r="F19" s="13">
        <f>IF(E19="","",E19-D19)</f>
        <v/>
      </c>
    </row>
    <row r="20">
      <c r="A20" t="inlineStr">
        <is>
          <t>DC</t>
        </is>
      </c>
      <c r="B20" t="inlineStr">
        <is>
          <t>Total revenue</t>
        </is>
      </c>
      <c r="C20" t="inlineStr">
        <is>
          <t>won_title</t>
        </is>
      </c>
      <c r="D20" s="13" t="n">
        <v>685.2853</v>
      </c>
      <c r="E20" s="13">
        <f>IF(A20=sel_team,'P&amp;L'!D17,"")</f>
        <v/>
      </c>
      <c r="F20" s="13">
        <f>IF(E20="","",E20-D20)</f>
        <v/>
      </c>
    </row>
    <row r="21">
      <c r="A21" t="inlineStr">
        <is>
          <t>DC</t>
        </is>
      </c>
      <c r="B21" t="inlineStr">
        <is>
          <t>Total operating costs</t>
        </is>
      </c>
      <c r="C21" t="inlineStr">
        <is>
          <t>won_title</t>
        </is>
      </c>
      <c r="D21" s="13" t="n">
        <v>283.2036</v>
      </c>
      <c r="E21" s="13">
        <f>IF(A21=sel_team,'P&amp;L'!D27,"")</f>
        <v/>
      </c>
      <c r="F21" s="13">
        <f>IF(E21="","",E21-D21)</f>
        <v/>
      </c>
    </row>
    <row r="22">
      <c r="A22" t="inlineStr">
        <is>
          <t>DC</t>
        </is>
      </c>
      <c r="B22" t="inlineStr">
        <is>
          <t>Operating profit</t>
        </is>
      </c>
      <c r="C22" t="inlineStr">
        <is>
          <t>won_title</t>
        </is>
      </c>
      <c r="D22" s="13" t="n">
        <v>402.0817</v>
      </c>
      <c r="E22" s="13">
        <f>IF(A22=sel_team,'P&amp;L'!D29,"")</f>
        <v/>
      </c>
      <c r="F22" s="13">
        <f>IF(E22="","",E22-D22)</f>
        <v/>
      </c>
    </row>
    <row r="23">
      <c r="A23" t="inlineStr">
        <is>
          <t>GT</t>
        </is>
      </c>
      <c r="B23" t="inlineStr">
        <is>
          <t>Total revenue</t>
        </is>
      </c>
      <c r="C23" t="inlineStr">
        <is>
          <t>missed_playoffs</t>
        </is>
      </c>
      <c r="D23" s="13" t="n">
        <v>674.9063</v>
      </c>
      <c r="E23" s="13">
        <f>IF(A23=sel_team,'P&amp;L'!B17,"")</f>
        <v/>
      </c>
      <c r="F23" s="13">
        <f>IF(E23="","",E23-D23)</f>
        <v/>
      </c>
    </row>
    <row r="24">
      <c r="A24" t="inlineStr">
        <is>
          <t>GT</t>
        </is>
      </c>
      <c r="B24" t="inlineStr">
        <is>
          <t>Total operating costs</t>
        </is>
      </c>
      <c r="C24" t="inlineStr">
        <is>
          <t>missed_playoffs</t>
        </is>
      </c>
      <c r="D24" s="13" t="n">
        <v>279.3413</v>
      </c>
      <c r="E24" s="13">
        <f>IF(A24=sel_team,'P&amp;L'!B27,"")</f>
        <v/>
      </c>
      <c r="F24" s="13">
        <f>IF(E24="","",E24-D24)</f>
        <v/>
      </c>
    </row>
    <row r="25">
      <c r="A25" t="inlineStr">
        <is>
          <t>GT</t>
        </is>
      </c>
      <c r="B25" t="inlineStr">
        <is>
          <t>Operating profit</t>
        </is>
      </c>
      <c r="C25" t="inlineStr">
        <is>
          <t>missed_playoffs</t>
        </is>
      </c>
      <c r="D25" s="13" t="n">
        <v>395.565</v>
      </c>
      <c r="E25" s="13">
        <f>IF(A25=sel_team,'P&amp;L'!B29,"")</f>
        <v/>
      </c>
      <c r="F25" s="13">
        <f>IF(E25="","",E25-D25)</f>
        <v/>
      </c>
    </row>
    <row r="26">
      <c r="A26" t="inlineStr">
        <is>
          <t>GT</t>
        </is>
      </c>
      <c r="B26" t="inlineStr">
        <is>
          <t>Total revenue</t>
        </is>
      </c>
      <c r="C26" t="inlineStr">
        <is>
          <t>made_playoffs</t>
        </is>
      </c>
      <c r="D26" s="13" t="n">
        <v>687.6467</v>
      </c>
      <c r="E26" s="13">
        <f>IF(A26=sel_team,'P&amp;L'!C17,"")</f>
        <v/>
      </c>
      <c r="F26" s="13">
        <f>IF(E26="","",E26-D26)</f>
        <v/>
      </c>
    </row>
    <row r="27">
      <c r="A27" t="inlineStr">
        <is>
          <t>GT</t>
        </is>
      </c>
      <c r="B27" t="inlineStr">
        <is>
          <t>Total operating costs</t>
        </is>
      </c>
      <c r="C27" t="inlineStr">
        <is>
          <t>made_playoffs</t>
        </is>
      </c>
      <c r="D27" s="13" t="n">
        <v>281.956</v>
      </c>
      <c r="E27" s="13">
        <f>IF(A27=sel_team,'P&amp;L'!C27,"")</f>
        <v/>
      </c>
      <c r="F27" s="13">
        <f>IF(E27="","",E27-D27)</f>
        <v/>
      </c>
    </row>
    <row r="28">
      <c r="A28" t="inlineStr">
        <is>
          <t>GT</t>
        </is>
      </c>
      <c r="B28" t="inlineStr">
        <is>
          <t>Operating profit</t>
        </is>
      </c>
      <c r="C28" t="inlineStr">
        <is>
          <t>made_playoffs</t>
        </is>
      </c>
      <c r="D28" s="13" t="n">
        <v>405.6907</v>
      </c>
      <c r="E28" s="13">
        <f>IF(A28=sel_team,'P&amp;L'!C29,"")</f>
        <v/>
      </c>
      <c r="F28" s="13">
        <f>IF(E28="","",E28-D28)</f>
        <v/>
      </c>
    </row>
    <row r="29">
      <c r="A29" t="inlineStr">
        <is>
          <t>GT</t>
        </is>
      </c>
      <c r="B29" t="inlineStr">
        <is>
          <t>Total revenue</t>
        </is>
      </c>
      <c r="C29" t="inlineStr">
        <is>
          <t>won_title</t>
        </is>
      </c>
      <c r="D29" s="13" t="n">
        <v>706.7396</v>
      </c>
      <c r="E29" s="13">
        <f>IF(A29=sel_team,'P&amp;L'!D17,"")</f>
        <v/>
      </c>
      <c r="F29" s="13">
        <f>IF(E29="","",E29-D29)</f>
        <v/>
      </c>
    </row>
    <row r="30">
      <c r="A30" t="inlineStr">
        <is>
          <t>GT</t>
        </is>
      </c>
      <c r="B30" t="inlineStr">
        <is>
          <t>Total operating costs</t>
        </is>
      </c>
      <c r="C30" t="inlineStr">
        <is>
          <t>won_title</t>
        </is>
      </c>
      <c r="D30" s="13" t="n">
        <v>283.9579</v>
      </c>
      <c r="E30" s="13">
        <f>IF(A30=sel_team,'P&amp;L'!D27,"")</f>
        <v/>
      </c>
      <c r="F30" s="13">
        <f>IF(E30="","",E30-D30)</f>
        <v/>
      </c>
    </row>
    <row r="31">
      <c r="A31" t="inlineStr">
        <is>
          <t>GT</t>
        </is>
      </c>
      <c r="B31" t="inlineStr">
        <is>
          <t>Operating profit</t>
        </is>
      </c>
      <c r="C31" t="inlineStr">
        <is>
          <t>won_title</t>
        </is>
      </c>
      <c r="D31" s="13" t="n">
        <v>422.7817</v>
      </c>
      <c r="E31" s="13">
        <f>IF(A31=sel_team,'P&amp;L'!D29,"")</f>
        <v/>
      </c>
      <c r="F31" s="13">
        <f>IF(E31="","",E31-D31)</f>
        <v/>
      </c>
    </row>
    <row r="32">
      <c r="A32" t="inlineStr">
        <is>
          <t>KKR</t>
        </is>
      </c>
      <c r="B32" t="inlineStr">
        <is>
          <t>Total revenue</t>
        </is>
      </c>
      <c r="C32" t="inlineStr">
        <is>
          <t>missed_playoffs</t>
        </is>
      </c>
      <c r="D32" s="13" t="n">
        <v>714.3872</v>
      </c>
      <c r="E32" s="13">
        <f>IF(A32=sel_team,'P&amp;L'!B17,"")</f>
        <v/>
      </c>
      <c r="F32" s="13">
        <f>IF(E32="","",E32-D32)</f>
        <v/>
      </c>
    </row>
    <row r="33">
      <c r="A33" t="inlineStr">
        <is>
          <t>KKR</t>
        </is>
      </c>
      <c r="B33" t="inlineStr">
        <is>
          <t>Total operating costs</t>
        </is>
      </c>
      <c r="C33" t="inlineStr">
        <is>
          <t>missed_playoffs</t>
        </is>
      </c>
      <c r="D33" s="13" t="n">
        <v>282.7374</v>
      </c>
      <c r="E33" s="13">
        <f>IF(A33=sel_team,'P&amp;L'!B27,"")</f>
        <v/>
      </c>
      <c r="F33" s="13">
        <f>IF(E33="","",E33-D33)</f>
        <v/>
      </c>
    </row>
    <row r="34">
      <c r="A34" t="inlineStr">
        <is>
          <t>KKR</t>
        </is>
      </c>
      <c r="B34" t="inlineStr">
        <is>
          <t>Operating profit</t>
        </is>
      </c>
      <c r="C34" t="inlineStr">
        <is>
          <t>missed_playoffs</t>
        </is>
      </c>
      <c r="D34" s="13" t="n">
        <v>431.6497</v>
      </c>
      <c r="E34" s="13">
        <f>IF(A34=sel_team,'P&amp;L'!B29,"")</f>
        <v/>
      </c>
      <c r="F34" s="13">
        <f>IF(E34="","",E34-D34)</f>
        <v/>
      </c>
    </row>
    <row r="35">
      <c r="A35" t="inlineStr">
        <is>
          <t>KKR</t>
        </is>
      </c>
      <c r="B35" t="inlineStr">
        <is>
          <t>Total revenue</t>
        </is>
      </c>
      <c r="C35" t="inlineStr">
        <is>
          <t>made_playoffs</t>
        </is>
      </c>
      <c r="D35" s="13" t="n">
        <v>729.5661</v>
      </c>
      <c r="E35" s="13">
        <f>IF(A35=sel_team,'P&amp;L'!C17,"")</f>
        <v/>
      </c>
      <c r="F35" s="13">
        <f>IF(E35="","",E35-D35)</f>
        <v/>
      </c>
    </row>
    <row r="36">
      <c r="A36" t="inlineStr">
        <is>
          <t>KKR</t>
        </is>
      </c>
      <c r="B36" t="inlineStr">
        <is>
          <t>Total operating costs</t>
        </is>
      </c>
      <c r="C36" t="inlineStr">
        <is>
          <t>made_playoffs</t>
        </is>
      </c>
      <c r="D36" s="13" t="n">
        <v>285.8399</v>
      </c>
      <c r="E36" s="13">
        <f>IF(A36=sel_team,'P&amp;L'!C27,"")</f>
        <v/>
      </c>
      <c r="F36" s="13">
        <f>IF(E36="","",E36-D36)</f>
        <v/>
      </c>
    </row>
    <row r="37">
      <c r="A37" t="inlineStr">
        <is>
          <t>KKR</t>
        </is>
      </c>
      <c r="B37" t="inlineStr">
        <is>
          <t>Operating profit</t>
        </is>
      </c>
      <c r="C37" t="inlineStr">
        <is>
          <t>made_playoffs</t>
        </is>
      </c>
      <c r="D37" s="13" t="n">
        <v>443.7262</v>
      </c>
      <c r="E37" s="13">
        <f>IF(A37=sel_team,'P&amp;L'!C29,"")</f>
        <v/>
      </c>
      <c r="F37" s="13">
        <f>IF(E37="","",E37-D37)</f>
        <v/>
      </c>
    </row>
    <row r="38">
      <c r="A38" t="inlineStr">
        <is>
          <t>KKR</t>
        </is>
      </c>
      <c r="B38" t="inlineStr">
        <is>
          <t>Total revenue</t>
        </is>
      </c>
      <c r="C38" t="inlineStr">
        <is>
          <t>won_title</t>
        </is>
      </c>
      <c r="D38" s="13" t="n">
        <v>753.3038</v>
      </c>
      <c r="E38" s="13">
        <f>IF(A38=sel_team,'P&amp;L'!D17,"")</f>
        <v/>
      </c>
      <c r="F38" s="13">
        <f>IF(E38="","",E38-D38)</f>
        <v/>
      </c>
    </row>
    <row r="39">
      <c r="A39" t="inlineStr">
        <is>
          <t>KKR</t>
        </is>
      </c>
      <c r="B39" t="inlineStr">
        <is>
          <t>Total operating costs</t>
        </is>
      </c>
      <c r="C39" t="inlineStr">
        <is>
          <t>won_title</t>
        </is>
      </c>
      <c r="D39" s="13" t="n">
        <v>288.7708</v>
      </c>
      <c r="E39" s="13">
        <f>IF(A39=sel_team,'P&amp;L'!D27,"")</f>
        <v/>
      </c>
      <c r="F39" s="13">
        <f>IF(E39="","",E39-D39)</f>
        <v/>
      </c>
    </row>
    <row r="40">
      <c r="A40" t="inlineStr">
        <is>
          <t>KKR</t>
        </is>
      </c>
      <c r="B40" t="inlineStr">
        <is>
          <t>Operating profit</t>
        </is>
      </c>
      <c r="C40" t="inlineStr">
        <is>
          <t>won_title</t>
        </is>
      </c>
      <c r="D40" s="13" t="n">
        <v>464.5331</v>
      </c>
      <c r="E40" s="13">
        <f>IF(A40=sel_team,'P&amp;L'!D29,"")</f>
        <v/>
      </c>
      <c r="F40" s="13">
        <f>IF(E40="","",E40-D40)</f>
        <v/>
      </c>
    </row>
    <row r="41">
      <c r="A41" t="inlineStr">
        <is>
          <t>LSG</t>
        </is>
      </c>
      <c r="B41" t="inlineStr">
        <is>
          <t>Total revenue</t>
        </is>
      </c>
      <c r="C41" t="inlineStr">
        <is>
          <t>missed_playoffs</t>
        </is>
      </c>
      <c r="D41" s="13" t="n">
        <v>651.5834</v>
      </c>
      <c r="E41" s="13">
        <f>IF(A41=sel_team,'P&amp;L'!B17,"")</f>
        <v/>
      </c>
      <c r="F41" s="13">
        <f>IF(E41="","",E41-D41)</f>
        <v/>
      </c>
    </row>
    <row r="42">
      <c r="A42" t="inlineStr">
        <is>
          <t>LSG</t>
        </is>
      </c>
      <c r="B42" t="inlineStr">
        <is>
          <t>Total operating costs</t>
        </is>
      </c>
      <c r="C42" t="inlineStr">
        <is>
          <t>missed_playoffs</t>
        </is>
      </c>
      <c r="D42" s="13" t="n">
        <v>274.8833</v>
      </c>
      <c r="E42" s="13">
        <f>IF(A42=sel_team,'P&amp;L'!B27,"")</f>
        <v/>
      </c>
      <c r="F42" s="13">
        <f>IF(E42="","",E42-D42)</f>
        <v/>
      </c>
    </row>
    <row r="43">
      <c r="A43" t="inlineStr">
        <is>
          <t>LSG</t>
        </is>
      </c>
      <c r="B43" t="inlineStr">
        <is>
          <t>Operating profit</t>
        </is>
      </c>
      <c r="C43" t="inlineStr">
        <is>
          <t>missed_playoffs</t>
        </is>
      </c>
      <c r="D43" s="13" t="n">
        <v>376.7001</v>
      </c>
      <c r="E43" s="13">
        <f>IF(A43=sel_team,'P&amp;L'!B29,"")</f>
        <v/>
      </c>
      <c r="F43" s="13">
        <f>IF(E43="","",E43-D43)</f>
        <v/>
      </c>
    </row>
    <row r="44">
      <c r="A44" t="inlineStr">
        <is>
          <t>LSG</t>
        </is>
      </c>
      <c r="B44" t="inlineStr">
        <is>
          <t>Total revenue</t>
        </is>
      </c>
      <c r="C44" t="inlineStr">
        <is>
          <t>made_playoffs</t>
        </is>
      </c>
      <c r="D44" s="13" t="n">
        <v>663.7501</v>
      </c>
      <c r="E44" s="13">
        <f>IF(A44=sel_team,'P&amp;L'!C17,"")</f>
        <v/>
      </c>
      <c r="F44" s="13">
        <f>IF(E44="","",E44-D44)</f>
        <v/>
      </c>
    </row>
    <row r="45">
      <c r="A45" t="inlineStr">
        <is>
          <t>LSG</t>
        </is>
      </c>
      <c r="B45" t="inlineStr">
        <is>
          <t>Total operating costs</t>
        </is>
      </c>
      <c r="C45" t="inlineStr">
        <is>
          <t>made_playoffs</t>
        </is>
      </c>
      <c r="D45" s="13" t="n">
        <v>277.3833</v>
      </c>
      <c r="E45" s="13">
        <f>IF(A45=sel_team,'P&amp;L'!C27,"")</f>
        <v/>
      </c>
      <c r="F45" s="13">
        <f>IF(E45="","",E45-D45)</f>
        <v/>
      </c>
    </row>
    <row r="46">
      <c r="A46" t="inlineStr">
        <is>
          <t>LSG</t>
        </is>
      </c>
      <c r="B46" t="inlineStr">
        <is>
          <t>Operating profit</t>
        </is>
      </c>
      <c r="C46" t="inlineStr">
        <is>
          <t>made_playoffs</t>
        </is>
      </c>
      <c r="D46" s="13" t="n">
        <v>386.3667</v>
      </c>
      <c r="E46" s="13">
        <f>IF(A46=sel_team,'P&amp;L'!C29,"")</f>
        <v/>
      </c>
      <c r="F46" s="13">
        <f>IF(E46="","",E46-D46)</f>
        <v/>
      </c>
    </row>
    <row r="47">
      <c r="A47" t="inlineStr">
        <is>
          <t>LSG</t>
        </is>
      </c>
      <c r="B47" t="inlineStr">
        <is>
          <t>Total revenue</t>
        </is>
      </c>
      <c r="C47" t="inlineStr">
        <is>
          <t>won_title</t>
        </is>
      </c>
      <c r="D47" s="13" t="n">
        <v>681.7501</v>
      </c>
      <c r="E47" s="13">
        <f>IF(A47=sel_team,'P&amp;L'!D17,"")</f>
        <v/>
      </c>
      <c r="F47" s="13">
        <f>IF(E47="","",E47-D47)</f>
        <v/>
      </c>
    </row>
    <row r="48">
      <c r="A48" t="inlineStr">
        <is>
          <t>LSG</t>
        </is>
      </c>
      <c r="B48" t="inlineStr">
        <is>
          <t>Total operating costs</t>
        </is>
      </c>
      <c r="C48" t="inlineStr">
        <is>
          <t>won_title</t>
        </is>
      </c>
      <c r="D48" s="13" t="n">
        <v>279.1667</v>
      </c>
      <c r="E48" s="13">
        <f>IF(A48=sel_team,'P&amp;L'!D27,"")</f>
        <v/>
      </c>
      <c r="F48" s="13">
        <f>IF(E48="","",E48-D48)</f>
        <v/>
      </c>
    </row>
    <row r="49">
      <c r="A49" t="inlineStr">
        <is>
          <t>LSG</t>
        </is>
      </c>
      <c r="B49" t="inlineStr">
        <is>
          <t>Operating profit</t>
        </is>
      </c>
      <c r="C49" t="inlineStr">
        <is>
          <t>won_title</t>
        </is>
      </c>
      <c r="D49" s="13" t="n">
        <v>402.5834</v>
      </c>
      <c r="E49" s="13">
        <f>IF(A49=sel_team,'P&amp;L'!D29,"")</f>
        <v/>
      </c>
      <c r="F49" s="13">
        <f>IF(E49="","",E49-D49)</f>
        <v/>
      </c>
    </row>
    <row r="50">
      <c r="A50" t="inlineStr">
        <is>
          <t>MI</t>
        </is>
      </c>
      <c r="B50" t="inlineStr">
        <is>
          <t>Total revenue</t>
        </is>
      </c>
      <c r="C50" t="inlineStr">
        <is>
          <t>missed_playoffs</t>
        </is>
      </c>
      <c r="D50" s="13" t="n">
        <v>683.2236</v>
      </c>
      <c r="E50" s="13">
        <f>IF(A50=sel_team,'P&amp;L'!B17,"")</f>
        <v/>
      </c>
      <c r="F50" s="13">
        <f>IF(E50="","",E50-D50)</f>
        <v/>
      </c>
    </row>
    <row r="51">
      <c r="A51" t="inlineStr">
        <is>
          <t>MI</t>
        </is>
      </c>
      <c r="B51" t="inlineStr">
        <is>
          <t>Total operating costs</t>
        </is>
      </c>
      <c r="C51" t="inlineStr">
        <is>
          <t>missed_playoffs</t>
        </is>
      </c>
      <c r="D51" s="13" t="n">
        <v>290.0309</v>
      </c>
      <c r="E51" s="13">
        <f>IF(A51=sel_team,'P&amp;L'!B27,"")</f>
        <v/>
      </c>
      <c r="F51" s="13">
        <f>IF(E51="","",E51-D51)</f>
        <v/>
      </c>
    </row>
    <row r="52">
      <c r="A52" t="inlineStr">
        <is>
          <t>MI</t>
        </is>
      </c>
      <c r="B52" t="inlineStr">
        <is>
          <t>Operating profit</t>
        </is>
      </c>
      <c r="C52" t="inlineStr">
        <is>
          <t>missed_playoffs</t>
        </is>
      </c>
      <c r="D52" s="13" t="n">
        <v>393.1927</v>
      </c>
      <c r="E52" s="13">
        <f>IF(A52=sel_team,'P&amp;L'!B29,"")</f>
        <v/>
      </c>
      <c r="F52" s="13">
        <f>IF(E52="","",E52-D52)</f>
        <v/>
      </c>
    </row>
    <row r="53">
      <c r="A53" t="inlineStr">
        <is>
          <t>MI</t>
        </is>
      </c>
      <c r="B53" t="inlineStr">
        <is>
          <t>Total revenue</t>
        </is>
      </c>
      <c r="C53" t="inlineStr">
        <is>
          <t>made_playoffs</t>
        </is>
      </c>
      <c r="D53" s="13" t="n">
        <v>698.8329</v>
      </c>
      <c r="E53" s="13">
        <f>IF(A53=sel_team,'P&amp;L'!C17,"")</f>
        <v/>
      </c>
      <c r="F53" s="13">
        <f>IF(E53="","",E53-D53)</f>
        <v/>
      </c>
    </row>
    <row r="54">
      <c r="A54" t="inlineStr">
        <is>
          <t>MI</t>
        </is>
      </c>
      <c r="B54" t="inlineStr">
        <is>
          <t>Total operating costs</t>
        </is>
      </c>
      <c r="C54" t="inlineStr">
        <is>
          <t>made_playoffs</t>
        </is>
      </c>
      <c r="D54" s="13" t="n">
        <v>293.2194</v>
      </c>
      <c r="E54" s="13">
        <f>IF(A54=sel_team,'P&amp;L'!C27,"")</f>
        <v/>
      </c>
      <c r="F54" s="13">
        <f>IF(E54="","",E54-D54)</f>
        <v/>
      </c>
    </row>
    <row r="55">
      <c r="A55" t="inlineStr">
        <is>
          <t>MI</t>
        </is>
      </c>
      <c r="B55" t="inlineStr">
        <is>
          <t>Operating profit</t>
        </is>
      </c>
      <c r="C55" t="inlineStr">
        <is>
          <t>made_playoffs</t>
        </is>
      </c>
      <c r="D55" s="13" t="n">
        <v>405.6135</v>
      </c>
      <c r="E55" s="13">
        <f>IF(A55=sel_team,'P&amp;L'!C29,"")</f>
        <v/>
      </c>
      <c r="F55" s="13">
        <f>IF(E55="","",E55-D55)</f>
        <v/>
      </c>
    </row>
    <row r="56">
      <c r="A56" t="inlineStr">
        <is>
          <t>MI</t>
        </is>
      </c>
      <c r="B56" t="inlineStr">
        <is>
          <t>Total revenue</t>
        </is>
      </c>
      <c r="C56" t="inlineStr">
        <is>
          <t>won_title</t>
        </is>
      </c>
      <c r="D56" s="13" t="n">
        <v>723.3903</v>
      </c>
      <c r="E56" s="13">
        <f>IF(A56=sel_team,'P&amp;L'!D17,"")</f>
        <v/>
      </c>
      <c r="F56" s="13">
        <f>IF(E56="","",E56-D56)</f>
        <v/>
      </c>
    </row>
    <row r="57">
      <c r="A57" t="inlineStr">
        <is>
          <t>MI</t>
        </is>
      </c>
      <c r="B57" t="inlineStr">
        <is>
          <t>Total operating costs</t>
        </is>
      </c>
      <c r="C57" t="inlineStr">
        <is>
          <t>won_title</t>
        </is>
      </c>
      <c r="D57" s="13" t="n">
        <v>296.3142</v>
      </c>
      <c r="E57" s="13">
        <f>IF(A57=sel_team,'P&amp;L'!D27,"")</f>
        <v/>
      </c>
      <c r="F57" s="13">
        <f>IF(E57="","",E57-D57)</f>
        <v/>
      </c>
    </row>
    <row r="58">
      <c r="A58" t="inlineStr">
        <is>
          <t>MI</t>
        </is>
      </c>
      <c r="B58" t="inlineStr">
        <is>
          <t>Operating profit</t>
        </is>
      </c>
      <c r="C58" t="inlineStr">
        <is>
          <t>won_title</t>
        </is>
      </c>
      <c r="D58" s="13" t="n">
        <v>427.0761</v>
      </c>
      <c r="E58" s="13">
        <f>IF(A58=sel_team,'P&amp;L'!D29,"")</f>
        <v/>
      </c>
      <c r="F58" s="13">
        <f>IF(E58="","",E58-D58)</f>
        <v/>
      </c>
    </row>
    <row r="59">
      <c r="A59" t="inlineStr">
        <is>
          <t>PBKS</t>
        </is>
      </c>
      <c r="B59" t="inlineStr">
        <is>
          <t>Total revenue</t>
        </is>
      </c>
      <c r="C59" t="inlineStr">
        <is>
          <t>missed_playoffs</t>
        </is>
      </c>
      <c r="D59" s="13" t="n">
        <v>643.2568</v>
      </c>
      <c r="E59" s="13">
        <f>IF(A59=sel_team,'P&amp;L'!B17,"")</f>
        <v/>
      </c>
      <c r="F59" s="13">
        <f>IF(E59="","",E59-D59)</f>
        <v/>
      </c>
    </row>
    <row r="60">
      <c r="A60" t="inlineStr">
        <is>
          <t>PBKS</t>
        </is>
      </c>
      <c r="B60" t="inlineStr">
        <is>
          <t>Total operating costs</t>
        </is>
      </c>
      <c r="C60" t="inlineStr">
        <is>
          <t>missed_playoffs</t>
        </is>
      </c>
      <c r="D60" s="13" t="n">
        <v>277.6984</v>
      </c>
      <c r="E60" s="13">
        <f>IF(A60=sel_team,'P&amp;L'!B27,"")</f>
        <v/>
      </c>
      <c r="F60" s="13">
        <f>IF(E60="","",E60-D60)</f>
        <v/>
      </c>
    </row>
    <row r="61">
      <c r="A61" t="inlineStr">
        <is>
          <t>PBKS</t>
        </is>
      </c>
      <c r="B61" t="inlineStr">
        <is>
          <t>Operating profit</t>
        </is>
      </c>
      <c r="C61" t="inlineStr">
        <is>
          <t>missed_playoffs</t>
        </is>
      </c>
      <c r="D61" s="13" t="n">
        <v>365.5584</v>
      </c>
      <c r="E61" s="13">
        <f>IF(A61=sel_team,'P&amp;L'!B29,"")</f>
        <v/>
      </c>
      <c r="F61" s="13">
        <f>IF(E61="","",E61-D61)</f>
        <v/>
      </c>
    </row>
    <row r="62">
      <c r="A62" t="inlineStr">
        <is>
          <t>PBKS</t>
        </is>
      </c>
      <c r="B62" t="inlineStr">
        <is>
          <t>Total revenue</t>
        </is>
      </c>
      <c r="C62" t="inlineStr">
        <is>
          <t>made_playoffs</t>
        </is>
      </c>
      <c r="D62" s="13" t="n">
        <v>655.9686</v>
      </c>
      <c r="E62" s="13">
        <f>IF(A62=sel_team,'P&amp;L'!C17,"")</f>
        <v/>
      </c>
      <c r="F62" s="13">
        <f>IF(E62="","",E62-D62)</f>
        <v/>
      </c>
    </row>
    <row r="63">
      <c r="A63" t="inlineStr">
        <is>
          <t>PBKS</t>
        </is>
      </c>
      <c r="B63" t="inlineStr">
        <is>
          <t>Total operating costs</t>
        </is>
      </c>
      <c r="C63" t="inlineStr">
        <is>
          <t>made_playoffs</t>
        </is>
      </c>
      <c r="D63" s="13" t="n">
        <v>280.3074</v>
      </c>
      <c r="E63" s="13">
        <f>IF(A63=sel_team,'P&amp;L'!C27,"")</f>
        <v/>
      </c>
      <c r="F63" s="13">
        <f>IF(E63="","",E63-D63)</f>
        <v/>
      </c>
    </row>
    <row r="64">
      <c r="A64" t="inlineStr">
        <is>
          <t>PBKS</t>
        </is>
      </c>
      <c r="B64" t="inlineStr">
        <is>
          <t>Operating profit</t>
        </is>
      </c>
      <c r="C64" t="inlineStr">
        <is>
          <t>made_playoffs</t>
        </is>
      </c>
      <c r="D64" s="13" t="n">
        <v>375.6612</v>
      </c>
      <c r="E64" s="13">
        <f>IF(A64=sel_team,'P&amp;L'!C29,"")</f>
        <v/>
      </c>
      <c r="F64" s="13">
        <f>IF(E64="","",E64-D64)</f>
        <v/>
      </c>
    </row>
    <row r="65">
      <c r="A65" t="inlineStr">
        <is>
          <t>PBKS</t>
        </is>
      </c>
      <c r="B65" t="inlineStr">
        <is>
          <t>Total revenue</t>
        </is>
      </c>
      <c r="C65" t="inlineStr">
        <is>
          <t>won_title</t>
        </is>
      </c>
      <c r="D65" s="13" t="n">
        <v>675.0068</v>
      </c>
      <c r="E65" s="13">
        <f>IF(A65=sel_team,'P&amp;L'!D17,"")</f>
        <v/>
      </c>
      <c r="F65" s="13">
        <f>IF(E65="","",E65-D65)</f>
        <v/>
      </c>
    </row>
    <row r="66">
      <c r="A66" t="inlineStr">
        <is>
          <t>PBKS</t>
        </is>
      </c>
      <c r="B66" t="inlineStr">
        <is>
          <t>Total operating costs</t>
        </is>
      </c>
      <c r="C66" t="inlineStr">
        <is>
          <t>won_title</t>
        </is>
      </c>
      <c r="D66" s="13" t="n">
        <v>282.2984</v>
      </c>
      <c r="E66" s="13">
        <f>IF(A66=sel_team,'P&amp;L'!D27,"")</f>
        <v/>
      </c>
      <c r="F66" s="13">
        <f>IF(E66="","",E66-D66)</f>
        <v/>
      </c>
    </row>
    <row r="67">
      <c r="A67" t="inlineStr">
        <is>
          <t>PBKS</t>
        </is>
      </c>
      <c r="B67" t="inlineStr">
        <is>
          <t>Operating profit</t>
        </is>
      </c>
      <c r="C67" t="inlineStr">
        <is>
          <t>won_title</t>
        </is>
      </c>
      <c r="D67" s="13" t="n">
        <v>392.7084</v>
      </c>
      <c r="E67" s="13">
        <f>IF(A67=sel_team,'P&amp;L'!D29,"")</f>
        <v/>
      </c>
      <c r="F67" s="13">
        <f>IF(E67="","",E67-D67)</f>
        <v/>
      </c>
    </row>
    <row r="68">
      <c r="A68" t="inlineStr">
        <is>
          <t>RR</t>
        </is>
      </c>
      <c r="B68" t="inlineStr">
        <is>
          <t>Total revenue</t>
        </is>
      </c>
      <c r="C68" t="inlineStr">
        <is>
          <t>missed_playoffs</t>
        </is>
      </c>
      <c r="D68" s="13" t="n">
        <v>634.2392</v>
      </c>
      <c r="E68" s="13">
        <f>IF(A68=sel_team,'P&amp;L'!B17,"")</f>
        <v/>
      </c>
      <c r="F68" s="13">
        <f>IF(E68="","",E68-D68)</f>
        <v/>
      </c>
    </row>
    <row r="69">
      <c r="A69" t="inlineStr">
        <is>
          <t>RR</t>
        </is>
      </c>
      <c r="B69" t="inlineStr">
        <is>
          <t>Total operating costs</t>
        </is>
      </c>
      <c r="C69" t="inlineStr">
        <is>
          <t>missed_playoffs</t>
        </is>
      </c>
      <c r="D69" s="13" t="n">
        <v>275.0128</v>
      </c>
      <c r="E69" s="13">
        <f>IF(A69=sel_team,'P&amp;L'!B27,"")</f>
        <v/>
      </c>
      <c r="F69" s="13">
        <f>IF(E69="","",E69-D69)</f>
        <v/>
      </c>
    </row>
    <row r="70">
      <c r="A70" t="inlineStr">
        <is>
          <t>RR</t>
        </is>
      </c>
      <c r="B70" t="inlineStr">
        <is>
          <t>Operating profit</t>
        </is>
      </c>
      <c r="C70" t="inlineStr">
        <is>
          <t>missed_playoffs</t>
        </is>
      </c>
      <c r="D70" s="13" t="n">
        <v>359.2264</v>
      </c>
      <c r="E70" s="13">
        <f>IF(A70=sel_team,'P&amp;L'!B29,"")</f>
        <v/>
      </c>
      <c r="F70" s="13">
        <f>IF(E70="","",E70-D70)</f>
        <v/>
      </c>
    </row>
    <row r="71">
      <c r="A71" t="inlineStr">
        <is>
          <t>RR</t>
        </is>
      </c>
      <c r="B71" t="inlineStr">
        <is>
          <t>Total revenue</t>
        </is>
      </c>
      <c r="C71" t="inlineStr">
        <is>
          <t>made_playoffs</t>
        </is>
      </c>
      <c r="D71" s="13" t="n">
        <v>647.0944</v>
      </c>
      <c r="E71" s="13">
        <f>IF(A71=sel_team,'P&amp;L'!C17,"")</f>
        <v/>
      </c>
      <c r="F71" s="13">
        <f>IF(E71="","",E71-D71)</f>
        <v/>
      </c>
    </row>
    <row r="72">
      <c r="A72" t="inlineStr">
        <is>
          <t>RR</t>
        </is>
      </c>
      <c r="B72" t="inlineStr">
        <is>
          <t>Total operating costs</t>
        </is>
      </c>
      <c r="C72" t="inlineStr">
        <is>
          <t>made_playoffs</t>
        </is>
      </c>
      <c r="D72" s="13" t="n">
        <v>277.6505</v>
      </c>
      <c r="E72" s="13">
        <f>IF(A72=sel_team,'P&amp;L'!C27,"")</f>
        <v/>
      </c>
      <c r="F72" s="13">
        <f>IF(E72="","",E72-D72)</f>
        <v/>
      </c>
    </row>
    <row r="73">
      <c r="A73" t="inlineStr">
        <is>
          <t>RR</t>
        </is>
      </c>
      <c r="B73" t="inlineStr">
        <is>
          <t>Operating profit</t>
        </is>
      </c>
      <c r="C73" t="inlineStr">
        <is>
          <t>made_playoffs</t>
        </is>
      </c>
      <c r="D73" s="13" t="n">
        <v>369.4439</v>
      </c>
      <c r="E73" s="13">
        <f>IF(A73=sel_team,'P&amp;L'!C29,"")</f>
        <v/>
      </c>
      <c r="F73" s="13">
        <f>IF(E73="","",E73-D73)</f>
        <v/>
      </c>
    </row>
    <row r="74">
      <c r="A74" t="inlineStr">
        <is>
          <t>RR</t>
        </is>
      </c>
      <c r="B74" t="inlineStr">
        <is>
          <t>Total revenue</t>
        </is>
      </c>
      <c r="C74" t="inlineStr">
        <is>
          <t>won_title</t>
        </is>
      </c>
      <c r="D74" s="13" t="n">
        <v>666.4059</v>
      </c>
      <c r="E74" s="13">
        <f>IF(A74=sel_team,'P&amp;L'!D17,"")</f>
        <v/>
      </c>
      <c r="F74" s="13">
        <f>IF(E74="","",E74-D74)</f>
        <v/>
      </c>
    </row>
    <row r="75">
      <c r="A75" t="inlineStr">
        <is>
          <t>RR</t>
        </is>
      </c>
      <c r="B75" t="inlineStr">
        <is>
          <t>Total operating costs</t>
        </is>
      </c>
      <c r="C75" t="inlineStr">
        <is>
          <t>won_title</t>
        </is>
      </c>
      <c r="D75" s="13" t="n">
        <v>279.6962</v>
      </c>
      <c r="E75" s="13">
        <f>IF(A75=sel_team,'P&amp;L'!D27,"")</f>
        <v/>
      </c>
      <c r="F75" s="13">
        <f>IF(E75="","",E75-D75)</f>
        <v/>
      </c>
    </row>
    <row r="76">
      <c r="A76" t="inlineStr">
        <is>
          <t>RR</t>
        </is>
      </c>
      <c r="B76" t="inlineStr">
        <is>
          <t>Operating profit</t>
        </is>
      </c>
      <c r="C76" t="inlineStr">
        <is>
          <t>won_title</t>
        </is>
      </c>
      <c r="D76" s="13" t="n">
        <v>386.7097</v>
      </c>
      <c r="E76" s="13">
        <f>IF(A76=sel_team,'P&amp;L'!D29,"")</f>
        <v/>
      </c>
      <c r="F76" s="13">
        <f>IF(E76="","",E76-D76)</f>
        <v/>
      </c>
    </row>
    <row r="77">
      <c r="A77" t="inlineStr">
        <is>
          <t>RCB</t>
        </is>
      </c>
      <c r="B77" t="inlineStr">
        <is>
          <t>Total revenue</t>
        </is>
      </c>
      <c r="C77" t="inlineStr">
        <is>
          <t>missed_playoffs</t>
        </is>
      </c>
      <c r="D77" s="13" t="n">
        <v>705.5454</v>
      </c>
      <c r="E77" s="13">
        <f>IF(A77=sel_team,'P&amp;L'!B17,"")</f>
        <v/>
      </c>
      <c r="F77" s="13">
        <f>IF(E77="","",E77-D77)</f>
        <v/>
      </c>
    </row>
    <row r="78">
      <c r="A78" t="inlineStr">
        <is>
          <t>RCB</t>
        </is>
      </c>
      <c r="B78" t="inlineStr">
        <is>
          <t>Total operating costs</t>
        </is>
      </c>
      <c r="C78" t="inlineStr">
        <is>
          <t>missed_playoffs</t>
        </is>
      </c>
      <c r="D78" s="13" t="n">
        <v>292.8391</v>
      </c>
      <c r="E78" s="13">
        <f>IF(A78=sel_team,'P&amp;L'!B27,"")</f>
        <v/>
      </c>
      <c r="F78" s="13">
        <f>IF(E78="","",E78-D78)</f>
        <v/>
      </c>
    </row>
    <row r="79">
      <c r="A79" t="inlineStr">
        <is>
          <t>RCB</t>
        </is>
      </c>
      <c r="B79" t="inlineStr">
        <is>
          <t>Operating profit</t>
        </is>
      </c>
      <c r="C79" t="inlineStr">
        <is>
          <t>missed_playoffs</t>
        </is>
      </c>
      <c r="D79" s="13" t="n">
        <v>412.7063</v>
      </c>
      <c r="E79" s="13">
        <f>IF(A79=sel_team,'P&amp;L'!B29,"")</f>
        <v/>
      </c>
      <c r="F79" s="13">
        <f>IF(E79="","",E79-D79)</f>
        <v/>
      </c>
    </row>
    <row r="80">
      <c r="A80" t="inlineStr">
        <is>
          <t>RCB</t>
        </is>
      </c>
      <c r="B80" t="inlineStr">
        <is>
          <t>Total revenue</t>
        </is>
      </c>
      <c r="C80" t="inlineStr">
        <is>
          <t>made_playoffs</t>
        </is>
      </c>
      <c r="D80" s="13" t="n">
        <v>721.9292</v>
      </c>
      <c r="E80" s="13">
        <f>IF(A80=sel_team,'P&amp;L'!C17,"")</f>
        <v/>
      </c>
      <c r="F80" s="13">
        <f>IF(E80="","",E80-D80)</f>
        <v/>
      </c>
    </row>
    <row r="81">
      <c r="A81" t="inlineStr">
        <is>
          <t>RCB</t>
        </is>
      </c>
      <c r="B81" t="inlineStr">
        <is>
          <t>Total operating costs</t>
        </is>
      </c>
      <c r="C81" t="inlineStr">
        <is>
          <t>made_playoffs</t>
        </is>
      </c>
      <c r="D81" s="13" t="n">
        <v>296.1825</v>
      </c>
      <c r="E81" s="13">
        <f>IF(A81=sel_team,'P&amp;L'!C27,"")</f>
        <v/>
      </c>
      <c r="F81" s="13">
        <f>IF(E81="","",E81-D81)</f>
        <v/>
      </c>
    </row>
    <row r="82">
      <c r="A82" t="inlineStr">
        <is>
          <t>RCB</t>
        </is>
      </c>
      <c r="B82" t="inlineStr">
        <is>
          <t>Operating profit</t>
        </is>
      </c>
      <c r="C82" t="inlineStr">
        <is>
          <t>made_playoffs</t>
        </is>
      </c>
      <c r="D82" s="13" t="n">
        <v>425.7467</v>
      </c>
      <c r="E82" s="13">
        <f>IF(A82=sel_team,'P&amp;L'!C29,"")</f>
        <v/>
      </c>
      <c r="F82" s="13">
        <f>IF(E82="","",E82-D82)</f>
        <v/>
      </c>
    </row>
    <row r="83">
      <c r="A83" t="inlineStr">
        <is>
          <t>RCB</t>
        </is>
      </c>
      <c r="B83" t="inlineStr">
        <is>
          <t>Total revenue</t>
        </is>
      </c>
      <c r="C83" t="inlineStr">
        <is>
          <t>won_title</t>
        </is>
      </c>
      <c r="D83" s="13" t="n">
        <v>747.962</v>
      </c>
      <c r="E83" s="13">
        <f>IF(A83=sel_team,'P&amp;L'!D17,"")</f>
        <v/>
      </c>
      <c r="F83" s="13">
        <f>IF(E83="","",E83-D83)</f>
        <v/>
      </c>
    </row>
    <row r="84">
      <c r="A84" t="inlineStr">
        <is>
          <t>RCB</t>
        </is>
      </c>
      <c r="B84" t="inlineStr">
        <is>
          <t>Total operating costs</t>
        </is>
      </c>
      <c r="C84" t="inlineStr">
        <is>
          <t>won_title</t>
        </is>
      </c>
      <c r="D84" s="13" t="n">
        <v>299.5724</v>
      </c>
      <c r="E84" s="13">
        <f>IF(A84=sel_team,'P&amp;L'!D27,"")</f>
        <v/>
      </c>
      <c r="F84" s="13">
        <f>IF(E84="","",E84-D84)</f>
        <v/>
      </c>
    </row>
    <row r="85">
      <c r="A85" t="inlineStr">
        <is>
          <t>RCB</t>
        </is>
      </c>
      <c r="B85" t="inlineStr">
        <is>
          <t>Operating profit</t>
        </is>
      </c>
      <c r="C85" t="inlineStr">
        <is>
          <t>won_title</t>
        </is>
      </c>
      <c r="D85" s="13" t="n">
        <v>448.3896</v>
      </c>
      <c r="E85" s="13">
        <f>IF(A85=sel_team,'P&amp;L'!D29,"")</f>
        <v/>
      </c>
      <c r="F85" s="13">
        <f>IF(E85="","",E85-D85)</f>
        <v/>
      </c>
    </row>
    <row r="86">
      <c r="A86" t="inlineStr">
        <is>
          <t>SRH</t>
        </is>
      </c>
      <c r="B86" t="inlineStr">
        <is>
          <t>Total revenue</t>
        </is>
      </c>
      <c r="C86" t="inlineStr">
        <is>
          <t>missed_playoffs</t>
        </is>
      </c>
      <c r="D86" s="13" t="n">
        <v>650.9961</v>
      </c>
      <c r="E86" s="13">
        <f>IF(A86=sel_team,'P&amp;L'!B17,"")</f>
        <v/>
      </c>
      <c r="F86" s="13">
        <f>IF(E86="","",E86-D86)</f>
        <v/>
      </c>
    </row>
    <row r="87">
      <c r="A87" t="inlineStr">
        <is>
          <t>SRH</t>
        </is>
      </c>
      <c r="B87" t="inlineStr">
        <is>
          <t>Total operating costs</t>
        </is>
      </c>
      <c r="C87" t="inlineStr">
        <is>
          <t>missed_playoffs</t>
        </is>
      </c>
      <c r="D87" s="13" t="n">
        <v>276.956</v>
      </c>
      <c r="E87" s="13">
        <f>IF(A87=sel_team,'P&amp;L'!B27,"")</f>
        <v/>
      </c>
      <c r="F87" s="13">
        <f>IF(E87="","",E87-D87)</f>
        <v/>
      </c>
    </row>
    <row r="88">
      <c r="A88" t="inlineStr">
        <is>
          <t>SRH</t>
        </is>
      </c>
      <c r="B88" t="inlineStr">
        <is>
          <t>Operating profit</t>
        </is>
      </c>
      <c r="C88" t="inlineStr">
        <is>
          <t>missed_playoffs</t>
        </is>
      </c>
      <c r="D88" s="13" t="n">
        <v>374.04</v>
      </c>
      <c r="E88" s="13">
        <f>IF(A88=sel_team,'P&amp;L'!B29,"")</f>
        <v/>
      </c>
      <c r="F88" s="13">
        <f>IF(E88="","",E88-D88)</f>
        <v/>
      </c>
    </row>
    <row r="89">
      <c r="A89" t="inlineStr">
        <is>
          <t>SRH</t>
        </is>
      </c>
      <c r="B89" t="inlineStr">
        <is>
          <t>Total revenue</t>
        </is>
      </c>
      <c r="C89" t="inlineStr">
        <is>
          <t>made_playoffs</t>
        </is>
      </c>
      <c r="D89" s="13" t="n">
        <v>664.0808</v>
      </c>
      <c r="E89" s="13">
        <f>IF(A89=sel_team,'P&amp;L'!C17,"")</f>
        <v/>
      </c>
      <c r="F89" s="13">
        <f>IF(E89="","",E89-D89)</f>
        <v/>
      </c>
    </row>
    <row r="90">
      <c r="A90" t="inlineStr">
        <is>
          <t>SRH</t>
        </is>
      </c>
      <c r="B90" t="inlineStr">
        <is>
          <t>Total operating costs</t>
        </is>
      </c>
      <c r="C90" t="inlineStr">
        <is>
          <t>made_playoffs</t>
        </is>
      </c>
      <c r="D90" s="13" t="n">
        <v>279.6396</v>
      </c>
      <c r="E90" s="13">
        <f>IF(A90=sel_team,'P&amp;L'!C27,"")</f>
        <v/>
      </c>
      <c r="F90" s="13">
        <f>IF(E90="","",E90-D90)</f>
        <v/>
      </c>
    </row>
    <row r="91">
      <c r="A91" t="inlineStr">
        <is>
          <t>SRH</t>
        </is>
      </c>
      <c r="B91" t="inlineStr">
        <is>
          <t>Operating profit</t>
        </is>
      </c>
      <c r="C91" t="inlineStr">
        <is>
          <t>made_playoffs</t>
        </is>
      </c>
      <c r="D91" s="13" t="n">
        <v>384.4411</v>
      </c>
      <c r="E91" s="13">
        <f>IF(A91=sel_team,'P&amp;L'!C29,"")</f>
        <v/>
      </c>
      <c r="F91" s="13">
        <f>IF(E91="","",E91-D91)</f>
        <v/>
      </c>
    </row>
    <row r="92">
      <c r="A92" t="inlineStr">
        <is>
          <t>SRH</t>
        </is>
      </c>
      <c r="B92" t="inlineStr">
        <is>
          <t>Total revenue</t>
        </is>
      </c>
      <c r="C92" t="inlineStr">
        <is>
          <t>won_title</t>
        </is>
      </c>
      <c r="D92" s="13" t="n">
        <v>683.8294</v>
      </c>
      <c r="E92" s="13">
        <f>IF(A92=sel_team,'P&amp;L'!D17,"")</f>
        <v/>
      </c>
      <c r="F92" s="13">
        <f>IF(E92="","",E92-D92)</f>
        <v/>
      </c>
    </row>
    <row r="93">
      <c r="A93" t="inlineStr">
        <is>
          <t>SRH</t>
        </is>
      </c>
      <c r="B93" t="inlineStr">
        <is>
          <t>Total operating costs</t>
        </is>
      </c>
      <c r="C93" t="inlineStr">
        <is>
          <t>won_title</t>
        </is>
      </c>
      <c r="D93" s="13" t="n">
        <v>281.7727</v>
      </c>
      <c r="E93" s="13">
        <f>IF(A93=sel_team,'P&amp;L'!D27,"")</f>
        <v/>
      </c>
      <c r="F93" s="13">
        <f>IF(E93="","",E93-D93)</f>
        <v/>
      </c>
    </row>
    <row r="94">
      <c r="A94" t="inlineStr">
        <is>
          <t>SRH</t>
        </is>
      </c>
      <c r="B94" t="inlineStr">
        <is>
          <t>Operating profit</t>
        </is>
      </c>
      <c r="C94" t="inlineStr">
        <is>
          <t>won_title</t>
        </is>
      </c>
      <c r="D94" s="13" t="n">
        <v>402.0567</v>
      </c>
      <c r="E94" s="13">
        <f>IF(A94=sel_team,'P&amp;L'!D29,"")</f>
        <v/>
      </c>
      <c r="F94" s="13">
        <f>IF(E94="","",E94-D94)</f>
        <v/>
      </c>
    </row>
  </sheetData>
  <conditionalFormatting sqref="F5:F95">
    <cfRule type="cellIs" priority="1" operator="notBetween" dxfId="0">
      <formula>-0.001</formula>
      <formula>0.001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2026-10-03T16:30:55Z</dcterms:created>
  <dcterms:modified xmlns:dcterms="http://purl.org/dc/terms/" xmlns:xsi="http://www.w3.org/2001/XMLSchema-instance" xsi:type="dcterms:W3CDTF">2026-10-03T16:30:55Z</dcterms:modified>
</cp:coreProperties>
</file>