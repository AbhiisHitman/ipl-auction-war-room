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Pyth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A5F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1F3A5F"/>
      </patternFill>
    </fill>
    <fill>
      <patternFill patternType="solid">
        <fgColor rgb="00EAF1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vertical="center" wrapText="1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Squad optimiser - Royal Challengers Bengaluru - IPL 2027 mini-auction (reduced pool for Excel Solver)</t>
        </is>
      </c>
    </row>
    <row r="2">
      <c r="A2" t="inlineStr"/>
    </row>
    <row r="3">
      <c r="A3" t="inlineStr">
        <is>
          <t>What this solves: pick the squad (keep own players or release them; buy from the pool) that maximises</t>
        </is>
      </c>
    </row>
    <row r="4">
      <c r="A4" t="inlineStr">
        <is>
          <t xml:space="preserve">   total value - lambda x total cost, within the purse and the squad rules.</t>
        </is>
      </c>
    </row>
    <row r="5">
      <c r="A5" t="inlineStr">
        <is>
          <t xml:space="preserve">   value = (Impact Score - replacement level) x role weight for this team's gaps (see Model sheet).</t>
        </is>
      </c>
    </row>
    <row r="6">
      <c r="A6" t="inlineStr"/>
    </row>
    <row r="7">
      <c r="A7" t="inlineStr">
        <is>
          <t>How to run Solver (Data &gt; Solver; enable the Solver add-in via Tools &gt; Excel Add-ins if needed):</t>
        </is>
      </c>
    </row>
    <row r="8">
      <c r="A8" t="inlineStr">
        <is>
          <t xml:space="preserve">  1. Set Objective: Model!$C$5   To: Max</t>
        </is>
      </c>
    </row>
    <row r="9">
      <c r="A9" t="inlineStr">
        <is>
          <t xml:space="preserve">  2. By Changing Variable Cells: Model!$O$12:$O$55</t>
        </is>
      </c>
    </row>
    <row r="10">
      <c r="A10" t="inlineStr">
        <is>
          <t xml:space="preserve">  3. Subject to the Constraints:</t>
        </is>
      </c>
    </row>
    <row r="11">
      <c r="A11" t="inlineStr">
        <is>
          <t xml:space="preserve">       Model!$O$12:$O$55 = binary</t>
        </is>
      </c>
    </row>
    <row r="12">
      <c r="A12" t="inlineStr">
        <is>
          <t xml:space="preserve">       Model!$C$6 &lt;= Model!$D$6      (purse)</t>
        </is>
      </c>
    </row>
    <row r="13">
      <c r="A13" t="inlineStr">
        <is>
          <t xml:space="preserve">       Model!$C$7 &gt;= Model!$D$7      (minimum spend)</t>
        </is>
      </c>
    </row>
    <row r="14">
      <c r="A14" t="inlineStr">
        <is>
          <t xml:space="preserve">       Model!$C$8 &gt;= Model!$D$8      (squad minimum)</t>
        </is>
      </c>
    </row>
    <row r="15">
      <c r="A15" t="inlineStr">
        <is>
          <t xml:space="preserve">       Model!$C$9 &lt;= Model!$D$9      (squad maximum)</t>
        </is>
      </c>
    </row>
    <row r="16">
      <c r="A16" t="inlineStr">
        <is>
          <t xml:space="preserve">       Model!$C$10 &lt;= Model!$D$10    (overseas cap)</t>
        </is>
      </c>
    </row>
    <row r="17">
      <c r="A17" t="inlineStr">
        <is>
          <t xml:space="preserve">       Model!$G$6:$G$10 &gt;= Model!$H$6:$H$10 and Model!$J$6:$J$10 &gt;= Model!$K$6:$K$10  (role minimums)</t>
        </is>
      </c>
    </row>
    <row r="18">
      <c r="A18" t="inlineStr">
        <is>
          <t xml:space="preserve">  4. Solving method: Simplex LP. Click Solve.</t>
        </is>
      </c>
    </row>
    <row r="19">
      <c r="A19" t="inlineStr"/>
    </row>
    <row r="20">
      <c r="A20" t="inlineStr">
        <is>
          <t>The decision column starts at the PuLP (Python) answer. Re-solving in Excel should give the same or</t>
        </is>
      </c>
    </row>
    <row r="21">
      <c r="A21" t="inlineStr">
        <is>
          <t>a near-identical squad and objective - compare with the 'Python' sheet.</t>
        </is>
      </c>
    </row>
    <row r="22">
      <c r="A22" t="inlineStr">
        <is>
          <t>Variables: 44 (Excel Solver limit 200). Roles with too few candidates have their minimum set to the number available.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8" customWidth="1" min="2" max="2"/>
    <col width="18" customWidth="1" min="3" max="3"/>
    <col width="9" customWidth="1" min="4" max="4"/>
    <col width="9" customWidth="1" min="5" max="5"/>
    <col width="11" customWidth="1" min="6" max="6"/>
    <col width="14" customWidth="1" min="7" max="7"/>
    <col width="2" customWidth="1" min="8" max="8"/>
    <col width="20" customWidth="1" min="9" max="9"/>
    <col width="10" customWidth="1" min="10" max="10"/>
    <col width="6" customWidth="1" min="11" max="11"/>
    <col width="2" customWidth="1" min="12" max="12"/>
    <col width="9" customWidth="1" min="13" max="13"/>
    <col width="11" customWidth="1" min="14" max="14"/>
    <col width="11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</cols>
  <sheetData>
    <row r="1">
      <c r="A1" s="1" t="inlineStr">
        <is>
          <t>Royal Challengers Bengaluru - Solver model</t>
        </is>
      </c>
    </row>
    <row r="3">
      <c r="A3" t="inlineStr">
        <is>
          <t>lambda (value per lakh)</t>
        </is>
      </c>
      <c r="B3" s="2" t="n">
        <v>0.000396</v>
      </c>
    </row>
    <row r="4">
      <c r="A4" s="3" t="inlineStr">
        <is>
          <t>Totals</t>
        </is>
      </c>
      <c r="B4" s="3" t="inlineStr"/>
      <c r="C4" s="3" t="inlineStr">
        <is>
          <t>Value</t>
        </is>
      </c>
      <c r="D4" s="3" t="inlineStr">
        <is>
          <t>Limit</t>
        </is>
      </c>
      <c r="F4" t="inlineStr">
        <is>
          <t>Role</t>
        </is>
      </c>
      <c r="G4" t="inlineStr">
        <is>
          <t>In squad</t>
        </is>
      </c>
      <c r="H4" t="inlineStr">
        <is>
          <t>Min</t>
        </is>
      </c>
      <c r="I4" t="inlineStr">
        <is>
          <t>Role</t>
        </is>
      </c>
      <c r="J4" t="inlineStr">
        <is>
          <t>In squad</t>
        </is>
      </c>
      <c r="K4" t="inlineStr">
        <is>
          <t>Min</t>
        </is>
      </c>
    </row>
    <row r="5">
      <c r="A5" t="inlineStr">
        <is>
          <t>OBJECTIVE: value - lambda x cost</t>
        </is>
      </c>
      <c r="C5" s="4">
        <f>SUMPRODUCT($M$12:$M$55,$O$12:$O$55)-B3*C6</f>
        <v/>
      </c>
    </row>
    <row r="6">
      <c r="A6" t="inlineStr">
        <is>
          <t>Total cost (lakh)</t>
        </is>
      </c>
      <c r="C6" s="4">
        <f>SUMPRODUCT($N$12:$N$55,$O$12:$O$55)</f>
        <v/>
      </c>
      <c r="D6" s="2" t="n">
        <v>12500</v>
      </c>
      <c r="F6" t="inlineStr">
        <is>
          <t>Opener</t>
        </is>
      </c>
      <c r="G6" s="4">
        <f>SUMPRODUCT($P$12:$P$55,$O$12:$O$55)</f>
        <v/>
      </c>
      <c r="H6" s="2" t="n">
        <v>2</v>
      </c>
      <c r="I6" t="inlineStr">
        <is>
          <t>Powerplay pacer</t>
        </is>
      </c>
      <c r="J6" s="4">
        <f>SUMPRODUCT($U$12:$U$55,$O$12:$O$55)</f>
        <v/>
      </c>
      <c r="K6" s="2" t="n">
        <v>2</v>
      </c>
    </row>
    <row r="7">
      <c r="A7" t="inlineStr">
        <is>
          <t>Minimum spend (lakh)</t>
        </is>
      </c>
      <c r="C7">
        <f>C6</f>
        <v/>
      </c>
      <c r="D7" s="2" t="n">
        <v>9375</v>
      </c>
      <c r="F7" t="inlineStr">
        <is>
          <t>Anchor</t>
        </is>
      </c>
      <c r="G7" s="4">
        <f>SUMPRODUCT($Q$12:$Q$55,$O$12:$O$55)</f>
        <v/>
      </c>
      <c r="H7" s="2" t="n">
        <v>1</v>
      </c>
      <c r="I7" t="inlineStr">
        <is>
          <t>Death pacer</t>
        </is>
      </c>
      <c r="J7" s="4">
        <f>SUMPRODUCT($V$12:$V$55,$O$12:$O$55)</f>
        <v/>
      </c>
      <c r="K7" s="2" t="n">
        <v>2</v>
      </c>
    </row>
    <row r="8">
      <c r="A8" t="inlineStr">
        <is>
          <t>Squad size (min)</t>
        </is>
      </c>
      <c r="C8" s="4">
        <f>SUM($O$12:$O$55)</f>
        <v/>
      </c>
      <c r="D8" s="2" t="n">
        <v>18</v>
      </c>
      <c r="F8" t="inlineStr">
        <is>
          <t>Middle-order</t>
        </is>
      </c>
      <c r="G8" s="4">
        <f>SUMPRODUCT($R$12:$R$55,$O$12:$O$55)</f>
        <v/>
      </c>
      <c r="H8" s="2" t="n">
        <v>1</v>
      </c>
      <c r="I8" t="inlineStr">
        <is>
          <t>Wrist spinner</t>
        </is>
      </c>
      <c r="J8" s="4">
        <f>SUMPRODUCT($W$12:$W$55,$O$12:$O$55)</f>
        <v/>
      </c>
      <c r="K8" s="2" t="n">
        <v>1</v>
      </c>
    </row>
    <row r="9">
      <c r="A9" t="inlineStr">
        <is>
          <t>Squad size (max)</t>
        </is>
      </c>
      <c r="C9">
        <f>C8</f>
        <v/>
      </c>
      <c r="D9" s="2" t="n">
        <v>25</v>
      </c>
      <c r="F9" t="inlineStr">
        <is>
          <t>Finisher</t>
        </is>
      </c>
      <c r="G9" s="4">
        <f>SUMPRODUCT($S$12:$S$55,$O$12:$O$55)</f>
        <v/>
      </c>
      <c r="H9" s="2" t="n">
        <v>2</v>
      </c>
      <c r="I9" t="inlineStr">
        <is>
          <t>Finger spinner</t>
        </is>
      </c>
      <c r="J9" s="4">
        <f>SUMPRODUCT($X$12:$X$55,$O$12:$O$55)</f>
        <v/>
      </c>
      <c r="K9" s="2" t="n">
        <v>1</v>
      </c>
    </row>
    <row r="10">
      <c r="A10" t="inlineStr">
        <is>
          <t>Overseas players</t>
        </is>
      </c>
      <c r="C10" s="4">
        <f>SUMPRODUCT($D$12:$D$55,$O$12:$O$55)</f>
        <v/>
      </c>
      <c r="D10" s="2" t="n">
        <v>8</v>
      </c>
      <c r="F10" t="inlineStr">
        <is>
          <t>Wicketkeeper</t>
        </is>
      </c>
      <c r="G10" s="4">
        <f>SUMPRODUCT($T$12:$T$55,$O$12:$O$55)</f>
        <v/>
      </c>
      <c r="H10" s="2" t="n">
        <v>1</v>
      </c>
      <c r="I10" t="inlineStr">
        <is>
          <t>All-rounder</t>
        </is>
      </c>
      <c r="J10" s="4">
        <f>SUMPRODUCT($Y$12:$Y$55,$O$12:$O$55)</f>
        <v/>
      </c>
      <c r="K10" s="2" t="n">
        <v>1</v>
      </c>
    </row>
    <row r="11">
      <c r="A11" s="3" t="inlineStr">
        <is>
          <t>Player</t>
        </is>
      </c>
      <c r="B11" s="3" t="inlineStr">
        <is>
          <t>Owner</t>
        </is>
      </c>
      <c r="C11" s="3" t="inlineStr">
        <is>
          <t>Primary role</t>
        </is>
      </c>
      <c r="D11" s="3" t="inlineStr">
        <is>
          <t>Overseas</t>
        </is>
      </c>
      <c r="E11" s="3" t="inlineStr">
        <is>
          <t>Impact</t>
        </is>
      </c>
      <c r="F11" s="3" t="inlineStr">
        <is>
          <t>Role weight</t>
        </is>
      </c>
      <c r="G11" s="3" t="inlineStr">
        <is>
          <t>Salary/expected cost (cr)</t>
        </is>
      </c>
      <c r="H11" s="3" t="inlineStr"/>
      <c r="I11" s="3" t="inlineStr"/>
      <c r="J11" s="3" t="inlineStr"/>
      <c r="K11" s="3" t="inlineStr"/>
      <c r="L11" s="3" t="inlineStr">
        <is>
          <t>Value</t>
        </is>
      </c>
      <c r="M11" s="3" t="inlineStr">
        <is>
          <t>Value</t>
        </is>
      </c>
      <c r="N11" s="3" t="inlineStr">
        <is>
          <t>Cost (lakh)</t>
        </is>
      </c>
      <c r="O11" s="3" t="inlineStr">
        <is>
          <t>PICK (0/1)</t>
        </is>
      </c>
      <c r="P11" s="3" t="inlineStr">
        <is>
          <t>Opener</t>
        </is>
      </c>
      <c r="Q11" s="3" t="inlineStr">
        <is>
          <t>Anchor</t>
        </is>
      </c>
      <c r="R11" s="3" t="inlineStr">
        <is>
          <t>Middle-order</t>
        </is>
      </c>
      <c r="S11" s="3" t="inlineStr">
        <is>
          <t>Finisher</t>
        </is>
      </c>
      <c r="T11" s="3" t="inlineStr">
        <is>
          <t>Wicketkeeper</t>
        </is>
      </c>
      <c r="U11" s="3" t="inlineStr">
        <is>
          <t>Powerplay pacer</t>
        </is>
      </c>
      <c r="V11" s="3" t="inlineStr">
        <is>
          <t>Death pacer</t>
        </is>
      </c>
      <c r="W11" s="3" t="inlineStr">
        <is>
          <t>Wrist spinner</t>
        </is>
      </c>
      <c r="X11" s="3" t="inlineStr">
        <is>
          <t>Finger spinner</t>
        </is>
      </c>
      <c r="Y11" s="3" t="inlineStr">
        <is>
          <t>All-rounder</t>
        </is>
      </c>
    </row>
    <row r="12">
      <c r="A12" t="inlineStr">
        <is>
          <t>Bhuvneshwar Kumar</t>
        </is>
      </c>
      <c r="B12" t="inlineStr">
        <is>
          <t>own</t>
        </is>
      </c>
      <c r="C12" t="inlineStr">
        <is>
          <t>Death pacer</t>
        </is>
      </c>
      <c r="D12" t="n">
        <v>0</v>
      </c>
      <c r="E12" t="n">
        <v>6.164</v>
      </c>
      <c r="F12" t="n">
        <v>1.021</v>
      </c>
      <c r="G12" t="n">
        <v>10.75</v>
      </c>
      <c r="M12" t="n">
        <v>9.968999999999999</v>
      </c>
      <c r="N12" t="n">
        <v>1075</v>
      </c>
      <c r="O12" s="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</row>
    <row r="13">
      <c r="A13" t="inlineStr">
        <is>
          <t>Virat Kohli</t>
        </is>
      </c>
      <c r="B13" t="inlineStr">
        <is>
          <t>own</t>
        </is>
      </c>
      <c r="C13" t="inlineStr">
        <is>
          <t>Opener</t>
        </is>
      </c>
      <c r="D13" t="n">
        <v>0</v>
      </c>
      <c r="E13" t="n">
        <v>4.54</v>
      </c>
      <c r="F13" t="n">
        <v>1</v>
      </c>
      <c r="G13" t="n">
        <v>21</v>
      </c>
      <c r="M13" t="n">
        <v>5.884</v>
      </c>
      <c r="N13" t="n">
        <v>2100</v>
      </c>
      <c r="O13" s="2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Josh Hazlewood</t>
        </is>
      </c>
      <c r="B14" t="inlineStr">
        <is>
          <t>own</t>
        </is>
      </c>
      <c r="C14" t="inlineStr">
        <is>
          <t>Powerplay pacer</t>
        </is>
      </c>
      <c r="D14" t="n">
        <v>1</v>
      </c>
      <c r="E14" t="n">
        <v>3.418</v>
      </c>
      <c r="F14" t="n">
        <v>1.011</v>
      </c>
      <c r="G14" t="n">
        <v>12.5</v>
      </c>
      <c r="M14" t="n">
        <v>3.987</v>
      </c>
      <c r="N14" t="n">
        <v>1250</v>
      </c>
      <c r="O14" s="2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Rajat Patidar</t>
        </is>
      </c>
      <c r="B15" t="inlineStr">
        <is>
          <t>own</t>
        </is>
      </c>
      <c r="C15" t="inlineStr">
        <is>
          <t>Anchor</t>
        </is>
      </c>
      <c r="D15" t="n">
        <v>0</v>
      </c>
      <c r="E15" t="n">
        <v>3.187</v>
      </c>
      <c r="F15" t="n">
        <v>1</v>
      </c>
      <c r="G15" t="n">
        <v>11</v>
      </c>
      <c r="M15" t="n">
        <v>5.47</v>
      </c>
      <c r="N15" t="n">
        <v>1100</v>
      </c>
      <c r="O15" s="2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Nuwan Thushara</t>
        </is>
      </c>
      <c r="B16" t="inlineStr">
        <is>
          <t>own</t>
        </is>
      </c>
      <c r="C16" t="inlineStr">
        <is>
          <t>Death pacer</t>
        </is>
      </c>
      <c r="D16" t="n">
        <v>1</v>
      </c>
      <c r="E16" t="n">
        <v>2.462</v>
      </c>
      <c r="F16" t="n">
        <v>1.021</v>
      </c>
      <c r="G16" t="n">
        <v>1.6</v>
      </c>
      <c r="M16" t="n">
        <v>4.066</v>
      </c>
      <c r="N16" t="n">
        <v>160</v>
      </c>
      <c r="O16" s="2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</row>
    <row r="17">
      <c r="A17" t="inlineStr">
        <is>
          <t>Swapnil Singh</t>
        </is>
      </c>
      <c r="B17" t="inlineStr">
        <is>
          <t>own</t>
        </is>
      </c>
      <c r="C17" t="n">
        <v/>
      </c>
      <c r="D17" t="n">
        <v>0</v>
      </c>
      <c r="E17" t="n">
        <v>2.253</v>
      </c>
      <c r="F17" t="n">
        <v>1</v>
      </c>
      <c r="G17" t="n">
        <v>0.5</v>
      </c>
      <c r="M17" t="n">
        <v>3.724</v>
      </c>
      <c r="N17" t="n">
        <v>50</v>
      </c>
      <c r="O17" s="2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Phil Salt</t>
        </is>
      </c>
      <c r="B18" t="inlineStr">
        <is>
          <t>own</t>
        </is>
      </c>
      <c r="C18" t="inlineStr">
        <is>
          <t>Opener</t>
        </is>
      </c>
      <c r="D18" t="n">
        <v>1</v>
      </c>
      <c r="E18" t="n">
        <v>2.069</v>
      </c>
      <c r="F18" t="n">
        <v>1</v>
      </c>
      <c r="G18" t="n">
        <v>11.5</v>
      </c>
      <c r="M18" t="n">
        <v>3.141</v>
      </c>
      <c r="N18" t="n">
        <v>1150</v>
      </c>
      <c r="O18" s="2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Krunal Pandya</t>
        </is>
      </c>
      <c r="B19" t="inlineStr">
        <is>
          <t>own</t>
        </is>
      </c>
      <c r="C19" t="inlineStr">
        <is>
          <t>All-rounder</t>
        </is>
      </c>
      <c r="D19" t="n">
        <v>0</v>
      </c>
      <c r="E19" t="n">
        <v>1.509</v>
      </c>
      <c r="F19" t="n">
        <v>1.01</v>
      </c>
      <c r="G19" t="n">
        <v>5.75</v>
      </c>
      <c r="M19" t="n">
        <v>3.095</v>
      </c>
      <c r="N19" t="n">
        <v>575</v>
      </c>
      <c r="O19" s="2" t="n">
        <v>1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</row>
    <row r="20">
      <c r="A20" t="inlineStr">
        <is>
          <t>Tim David</t>
        </is>
      </c>
      <c r="B20" t="inlineStr">
        <is>
          <t>own</t>
        </is>
      </c>
      <c r="C20" t="inlineStr">
        <is>
          <t>Finisher</t>
        </is>
      </c>
      <c r="D20" t="n">
        <v>1</v>
      </c>
      <c r="E20" t="n">
        <v>1.332</v>
      </c>
      <c r="F20" t="n">
        <v>1.01</v>
      </c>
      <c r="G20" t="n">
        <v>3</v>
      </c>
      <c r="M20" t="n">
        <v>3.096</v>
      </c>
      <c r="N20" t="n">
        <v>300</v>
      </c>
      <c r="O20" s="2" t="n">
        <v>1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Venkatesh Iyer</t>
        </is>
      </c>
      <c r="B21" t="inlineStr">
        <is>
          <t>own</t>
        </is>
      </c>
      <c r="C21" t="inlineStr">
        <is>
          <t>Anchor</t>
        </is>
      </c>
      <c r="D21" t="n">
        <v>0</v>
      </c>
      <c r="E21" t="n">
        <v>1.116</v>
      </c>
      <c r="F21" t="n">
        <v>1</v>
      </c>
      <c r="G21" t="n">
        <v>7</v>
      </c>
      <c r="M21" t="n">
        <v>2.777</v>
      </c>
      <c r="N21" t="n">
        <v>700</v>
      </c>
      <c r="O21" s="2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Jacob Duffy</t>
        </is>
      </c>
      <c r="B22" t="inlineStr">
        <is>
          <t>own</t>
        </is>
      </c>
      <c r="C22" t="inlineStr">
        <is>
          <t>Powerplay pacer</t>
        </is>
      </c>
      <c r="D22" t="n">
        <v>1</v>
      </c>
      <c r="E22" t="n">
        <v>0.506</v>
      </c>
      <c r="F22" t="n">
        <v>1.011</v>
      </c>
      <c r="G22" t="n">
        <v>2</v>
      </c>
      <c r="M22" t="n">
        <v>1.999</v>
      </c>
      <c r="N22" t="n">
        <v>200</v>
      </c>
      <c r="O22" s="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Devdutt Padikkal</t>
        </is>
      </c>
      <c r="B23" t="inlineStr">
        <is>
          <t>own</t>
        </is>
      </c>
      <c r="C23" t="inlineStr">
        <is>
          <t>Anchor</t>
        </is>
      </c>
      <c r="D23" t="n">
        <v>0</v>
      </c>
      <c r="E23" t="n">
        <v>0.187</v>
      </c>
      <c r="F23" t="n">
        <v>1</v>
      </c>
      <c r="G23" t="n">
        <v>2</v>
      </c>
      <c r="M23" t="n">
        <v>2.589</v>
      </c>
      <c r="N23" t="n">
        <v>200</v>
      </c>
      <c r="O23" s="2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Rasikh Salam</t>
        </is>
      </c>
      <c r="B24" t="inlineStr">
        <is>
          <t>own</t>
        </is>
      </c>
      <c r="C24" t="inlineStr">
        <is>
          <t>Death pacer</t>
        </is>
      </c>
      <c r="D24" t="n">
        <v>0</v>
      </c>
      <c r="E24" t="n">
        <v>0.016</v>
      </c>
      <c r="F24" t="n">
        <v>1.021</v>
      </c>
      <c r="G24" t="n">
        <v>6</v>
      </c>
      <c r="M24" t="n">
        <v>2.484</v>
      </c>
      <c r="N24" t="n">
        <v>600</v>
      </c>
      <c r="O24" s="2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</row>
    <row r="25">
      <c r="A25" t="inlineStr">
        <is>
          <t>Yash Dayal</t>
        </is>
      </c>
      <c r="B25" t="inlineStr">
        <is>
          <t>own</t>
        </is>
      </c>
      <c r="C25" t="inlineStr">
        <is>
          <t>Powerplay pacer</t>
        </is>
      </c>
      <c r="D25" t="n">
        <v>0</v>
      </c>
      <c r="E25" t="n">
        <v>-0.209</v>
      </c>
      <c r="F25" t="n">
        <v>1.011</v>
      </c>
      <c r="G25" t="n">
        <v>5</v>
      </c>
      <c r="M25" t="n">
        <v>1.219</v>
      </c>
      <c r="N25" t="n">
        <v>500</v>
      </c>
      <c r="O25" s="2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Jitesh Sharma</t>
        </is>
      </c>
      <c r="B26" t="inlineStr">
        <is>
          <t>own</t>
        </is>
      </c>
      <c r="C26" t="inlineStr">
        <is>
          <t>Finisher</t>
        </is>
      </c>
      <c r="D26" t="n">
        <v>0</v>
      </c>
      <c r="E26" t="n">
        <v>-0.716</v>
      </c>
      <c r="F26" t="n">
        <v>1.01</v>
      </c>
      <c r="G26" t="n">
        <v>11</v>
      </c>
      <c r="M26" t="n">
        <v>0.501</v>
      </c>
      <c r="N26" t="n">
        <v>1100</v>
      </c>
      <c r="O26" s="2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Suyash Sharma</t>
        </is>
      </c>
      <c r="B27" t="inlineStr">
        <is>
          <t>own</t>
        </is>
      </c>
      <c r="C27" t="inlineStr">
        <is>
          <t>Wrist spinner</t>
        </is>
      </c>
      <c r="D27" t="n">
        <v>0</v>
      </c>
      <c r="E27" t="n">
        <v>-0.894</v>
      </c>
      <c r="F27" t="n">
        <v>1.236</v>
      </c>
      <c r="G27" t="n">
        <v>2.6</v>
      </c>
      <c r="M27" t="n">
        <v>0.85</v>
      </c>
      <c r="N27" t="n">
        <v>260</v>
      </c>
      <c r="O27" s="2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</row>
    <row r="28">
      <c r="A28" t="inlineStr">
        <is>
          <t>Romario Shepherd</t>
        </is>
      </c>
      <c r="B28" t="inlineStr">
        <is>
          <t>own</t>
        </is>
      </c>
      <c r="C28" t="inlineStr">
        <is>
          <t>Powerplay pacer</t>
        </is>
      </c>
      <c r="D28" t="n">
        <v>1</v>
      </c>
      <c r="E28" t="n">
        <v>-2.065</v>
      </c>
      <c r="F28" t="n">
        <v>1.011</v>
      </c>
      <c r="G28" t="n">
        <v>1.5</v>
      </c>
      <c r="M28" t="n">
        <v>-0.88</v>
      </c>
      <c r="N28" t="n">
        <v>150</v>
      </c>
      <c r="O28" s="2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Jacob Bethell</t>
        </is>
      </c>
      <c r="B29" t="inlineStr">
        <is>
          <t>own</t>
        </is>
      </c>
      <c r="C29" t="n">
        <v/>
      </c>
      <c r="D29" t="n">
        <v>1</v>
      </c>
      <c r="E29" t="n">
        <v>-2.067</v>
      </c>
      <c r="F29" t="n">
        <v>1</v>
      </c>
      <c r="G29" t="n">
        <v>2.6</v>
      </c>
      <c r="M29" t="n">
        <v>-1.304</v>
      </c>
      <c r="N29" t="n">
        <v>260</v>
      </c>
      <c r="O29" s="2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Abhinandan Singh</t>
        </is>
      </c>
      <c r="B30" t="inlineStr">
        <is>
          <t>own</t>
        </is>
      </c>
      <c r="C30" t="n">
        <v/>
      </c>
      <c r="D30" t="n">
        <v>0</v>
      </c>
      <c r="F30" t="n">
        <v>1</v>
      </c>
      <c r="G30" t="n">
        <v>0.3</v>
      </c>
      <c r="M30" t="n">
        <v>0</v>
      </c>
      <c r="N30" t="n">
        <v>30</v>
      </c>
      <c r="O30" s="2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Jordan Cox</t>
        </is>
      </c>
      <c r="B31" t="inlineStr">
        <is>
          <t>own</t>
        </is>
      </c>
      <c r="C31" t="n">
        <v/>
      </c>
      <c r="D31" t="n">
        <v>1</v>
      </c>
      <c r="F31" t="n">
        <v>1</v>
      </c>
      <c r="G31" t="n">
        <v>0.75</v>
      </c>
      <c r="M31" t="n">
        <v>0</v>
      </c>
      <c r="N31" t="n">
        <v>75</v>
      </c>
      <c r="O31" s="2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Kanishk Chouhan</t>
        </is>
      </c>
      <c r="B32" t="inlineStr">
        <is>
          <t>own</t>
        </is>
      </c>
      <c r="C32" t="n">
        <v/>
      </c>
      <c r="D32" t="n">
        <v>0</v>
      </c>
      <c r="F32" t="n">
        <v>1</v>
      </c>
      <c r="G32" t="n">
        <v>0.3</v>
      </c>
      <c r="M32" t="n">
        <v>0</v>
      </c>
      <c r="N32" t="n">
        <v>30</v>
      </c>
      <c r="O32" s="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Mangesh Yadav</t>
        </is>
      </c>
      <c r="B33" t="inlineStr">
        <is>
          <t>own</t>
        </is>
      </c>
      <c r="C33" t="n">
        <v/>
      </c>
      <c r="D33" t="n">
        <v>0</v>
      </c>
      <c r="F33" t="n">
        <v>1</v>
      </c>
      <c r="G33" t="n">
        <v>5.2</v>
      </c>
      <c r="M33" t="n">
        <v>0</v>
      </c>
      <c r="N33" t="n">
        <v>520</v>
      </c>
      <c r="O33" s="2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Satvik Deswal</t>
        </is>
      </c>
      <c r="B34" t="inlineStr">
        <is>
          <t>own</t>
        </is>
      </c>
      <c r="C34" t="n">
        <v/>
      </c>
      <c r="D34" t="n">
        <v>0</v>
      </c>
      <c r="F34" t="n">
        <v>1</v>
      </c>
      <c r="G34" t="n">
        <v>0.3</v>
      </c>
      <c r="M34" t="n">
        <v>0</v>
      </c>
      <c r="N34" t="n">
        <v>30</v>
      </c>
      <c r="O34" s="2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Vicky Ostwal</t>
        </is>
      </c>
      <c r="B35" t="inlineStr">
        <is>
          <t>own</t>
        </is>
      </c>
      <c r="C35" t="n">
        <v/>
      </c>
      <c r="D35" t="n">
        <v>0</v>
      </c>
      <c r="F35" t="n">
        <v>1</v>
      </c>
      <c r="G35" t="n">
        <v>0.3</v>
      </c>
      <c r="M35" t="n">
        <v>0</v>
      </c>
      <c r="N35" t="n">
        <v>30</v>
      </c>
      <c r="O35" s="2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Vihaan Malhotra</t>
        </is>
      </c>
      <c r="B36" t="inlineStr">
        <is>
          <t>own</t>
        </is>
      </c>
      <c r="C36" t="n">
        <v/>
      </c>
      <c r="D36" t="n">
        <v>0</v>
      </c>
      <c r="F36" t="n">
        <v>1</v>
      </c>
      <c r="G36" t="n">
        <v>0.3</v>
      </c>
      <c r="M36" t="n">
        <v>0</v>
      </c>
      <c r="N36" t="n">
        <v>30</v>
      </c>
      <c r="O36" s="2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Jonny Bairstow</t>
        </is>
      </c>
      <c r="B37" t="inlineStr">
        <is>
          <t>pool</t>
        </is>
      </c>
      <c r="C37" t="inlineStr">
        <is>
          <t>Opener</t>
        </is>
      </c>
      <c r="D37" t="n">
        <v>1</v>
      </c>
      <c r="E37" t="n">
        <v>2.037</v>
      </c>
      <c r="F37" t="n">
        <v>1</v>
      </c>
      <c r="G37" t="n">
        <v>6.5</v>
      </c>
      <c r="M37" t="n">
        <v>3.739</v>
      </c>
      <c r="N37" t="n">
        <v>650</v>
      </c>
      <c r="O37" s="2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Moeen Ali</t>
        </is>
      </c>
      <c r="B38" t="inlineStr">
        <is>
          <t>pool</t>
        </is>
      </c>
      <c r="C38" t="inlineStr">
        <is>
          <t>Finger spinner</t>
        </is>
      </c>
      <c r="D38" t="n">
        <v>1</v>
      </c>
      <c r="E38" t="n">
        <v>1.02</v>
      </c>
      <c r="F38" t="n">
        <v>0.989</v>
      </c>
      <c r="G38" t="n">
        <v>5.63</v>
      </c>
      <c r="M38" t="n">
        <v>2.64</v>
      </c>
      <c r="N38" t="n">
        <v>563</v>
      </c>
      <c r="O38" s="2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</row>
    <row r="39">
      <c r="A39" t="inlineStr">
        <is>
          <t>Karn Sharma</t>
        </is>
      </c>
      <c r="B39" t="inlineStr">
        <is>
          <t>pool</t>
        </is>
      </c>
      <c r="C39" t="inlineStr">
        <is>
          <t>Wrist spinner</t>
        </is>
      </c>
      <c r="D39" t="n">
        <v>0</v>
      </c>
      <c r="E39" t="n">
        <v>0.08799999999999999</v>
      </c>
      <c r="F39" t="n">
        <v>1.236</v>
      </c>
      <c r="G39" t="n">
        <v>1.7</v>
      </c>
      <c r="M39" t="n">
        <v>2.26</v>
      </c>
      <c r="N39" t="n">
        <v>170</v>
      </c>
      <c r="O39" s="2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</row>
    <row r="40">
      <c r="A40" t="inlineStr">
        <is>
          <t>Mahipal Lomror</t>
        </is>
      </c>
      <c r="B40" t="inlineStr">
        <is>
          <t>pool</t>
        </is>
      </c>
      <c r="C40" t="n">
        <v/>
      </c>
      <c r="D40" t="n">
        <v>0</v>
      </c>
      <c r="E40" t="n">
        <v>0.153</v>
      </c>
      <c r="F40" t="n">
        <v>1</v>
      </c>
      <c r="G40" t="n">
        <v>1.48</v>
      </c>
      <c r="M40" t="n">
        <v>1.624</v>
      </c>
      <c r="N40" t="n">
        <v>148</v>
      </c>
      <c r="O40" s="2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inlineStr">
        <is>
          <t>Nitish Kumar Reddy</t>
        </is>
      </c>
      <c r="B41" t="inlineStr">
        <is>
          <t>pool</t>
        </is>
      </c>
      <c r="C41" t="inlineStr">
        <is>
          <t>Middle-order</t>
        </is>
      </c>
      <c r="D41" t="n">
        <v>0</v>
      </c>
      <c r="E41" t="n">
        <v>-0.9409999999999999</v>
      </c>
      <c r="F41" t="n">
        <v>1.6</v>
      </c>
      <c r="G41" t="n">
        <v>3.27</v>
      </c>
      <c r="M41" t="n">
        <v>1.355</v>
      </c>
      <c r="N41" t="n">
        <v>327</v>
      </c>
      <c r="O41" s="2" t="n">
        <v>1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</row>
    <row r="42">
      <c r="A42" t="inlineStr">
        <is>
          <t>Jake Fraser-McGurk</t>
        </is>
      </c>
      <c r="B42" t="inlineStr">
        <is>
          <t>pool</t>
        </is>
      </c>
      <c r="C42" t="inlineStr">
        <is>
          <t>Opener</t>
        </is>
      </c>
      <c r="D42" t="n">
        <v>1</v>
      </c>
      <c r="E42" t="n">
        <v>0.262</v>
      </c>
      <c r="F42" t="n">
        <v>1</v>
      </c>
      <c r="G42" t="n">
        <v>5.04</v>
      </c>
      <c r="M42" t="n">
        <v>1.103</v>
      </c>
      <c r="N42" t="n">
        <v>504</v>
      </c>
      <c r="O42" s="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inlineStr">
        <is>
          <t>Kartik Sharma</t>
        </is>
      </c>
      <c r="B43" t="inlineStr">
        <is>
          <t>pool</t>
        </is>
      </c>
      <c r="C43" t="inlineStr">
        <is>
          <t>Middle-order</t>
        </is>
      </c>
      <c r="D43" t="n">
        <v>0</v>
      </c>
      <c r="E43" t="n">
        <v>-0.787</v>
      </c>
      <c r="F43" t="n">
        <v>1.6</v>
      </c>
      <c r="G43" t="n">
        <v>2.54</v>
      </c>
      <c r="M43" t="n">
        <v>1.094</v>
      </c>
      <c r="N43" t="n">
        <v>254</v>
      </c>
      <c r="O43" s="2" t="n">
        <v>1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Glenn Maxwell</t>
        </is>
      </c>
      <c r="B44" t="inlineStr">
        <is>
          <t>pool</t>
        </is>
      </c>
      <c r="C44" t="inlineStr">
        <is>
          <t>Finger spinner</t>
        </is>
      </c>
      <c r="D44" t="n">
        <v>1</v>
      </c>
      <c r="E44" t="n">
        <v>-0.425</v>
      </c>
      <c r="F44" t="n">
        <v>0.989</v>
      </c>
      <c r="G44" t="n">
        <v>3.38</v>
      </c>
      <c r="M44" t="n">
        <v>1.009</v>
      </c>
      <c r="N44" t="n">
        <v>338</v>
      </c>
      <c r="O44" s="2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</row>
    <row r="45">
      <c r="A45" t="inlineStr">
        <is>
          <t>Naman Dhir</t>
        </is>
      </c>
      <c r="B45" t="inlineStr">
        <is>
          <t>pool</t>
        </is>
      </c>
      <c r="C45" t="inlineStr">
        <is>
          <t>Finisher</t>
        </is>
      </c>
      <c r="D45" t="n">
        <v>0</v>
      </c>
      <c r="E45" t="n">
        <v>-0.335</v>
      </c>
      <c r="F45" t="n">
        <v>1.01</v>
      </c>
      <c r="G45" t="n">
        <v>1.98</v>
      </c>
      <c r="M45" t="n">
        <v>0.956</v>
      </c>
      <c r="N45" t="n">
        <v>198</v>
      </c>
      <c r="O45" s="2" t="n">
        <v>1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MS Dhoni</t>
        </is>
      </c>
      <c r="B46" t="inlineStr">
        <is>
          <t>pool</t>
        </is>
      </c>
      <c r="C46" t="inlineStr">
        <is>
          <t>Finisher</t>
        </is>
      </c>
      <c r="D46" t="n">
        <v>0</v>
      </c>
      <c r="E46" t="n">
        <v>-0.403</v>
      </c>
      <c r="F46" t="n">
        <v>1.01</v>
      </c>
      <c r="G46" t="n">
        <v>1.78</v>
      </c>
      <c r="M46" t="n">
        <v>0.915</v>
      </c>
      <c r="N46" t="n">
        <v>178</v>
      </c>
      <c r="O46" s="2" t="n">
        <v>1</v>
      </c>
      <c r="P46" t="n">
        <v>0</v>
      </c>
      <c r="Q46" t="n">
        <v>0</v>
      </c>
      <c r="R46" t="n">
        <v>0</v>
      </c>
      <c r="S46" t="n">
        <v>1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Prashant Veer</t>
        </is>
      </c>
      <c r="B47" t="inlineStr">
        <is>
          <t>pool</t>
        </is>
      </c>
      <c r="C47" t="n">
        <v/>
      </c>
      <c r="D47" t="n">
        <v>0</v>
      </c>
      <c r="E47" t="n">
        <v>-0.636</v>
      </c>
      <c r="F47" t="n">
        <v>1</v>
      </c>
      <c r="G47" t="n">
        <v>2.63</v>
      </c>
      <c r="M47" t="n">
        <v>0.835</v>
      </c>
      <c r="N47" t="n">
        <v>263</v>
      </c>
      <c r="O47" s="2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Mayank Agarwal</t>
        </is>
      </c>
      <c r="B48" t="inlineStr">
        <is>
          <t>pool</t>
        </is>
      </c>
      <c r="C48" t="inlineStr">
        <is>
          <t>Anchor</t>
        </is>
      </c>
      <c r="D48" t="n">
        <v>0</v>
      </c>
      <c r="E48" t="n">
        <v>-0.911</v>
      </c>
      <c r="F48" t="n">
        <v>1</v>
      </c>
      <c r="G48" t="n">
        <v>3.66</v>
      </c>
      <c r="M48" t="n">
        <v>0.759</v>
      </c>
      <c r="N48" t="n">
        <v>366</v>
      </c>
      <c r="O48" s="2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Gurjapneet Singh</t>
        </is>
      </c>
      <c r="B49" t="inlineStr">
        <is>
          <t>pool</t>
        </is>
      </c>
      <c r="C49" t="inlineStr">
        <is>
          <t>Powerplay pacer</t>
        </is>
      </c>
      <c r="D49" t="n">
        <v>0</v>
      </c>
      <c r="E49" t="n">
        <v>-0.8169999999999999</v>
      </c>
      <c r="F49" t="n">
        <v>1.011</v>
      </c>
      <c r="G49" t="n">
        <v>1.33</v>
      </c>
      <c r="M49" t="n">
        <v>0.661</v>
      </c>
      <c r="N49" t="n">
        <v>133</v>
      </c>
      <c r="O49" s="2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Vijay Shankar</t>
        </is>
      </c>
      <c r="B50" t="inlineStr">
        <is>
          <t>pool</t>
        </is>
      </c>
      <c r="C50" t="inlineStr">
        <is>
          <t>Middle-order</t>
        </is>
      </c>
      <c r="D50" t="n">
        <v>0</v>
      </c>
      <c r="E50" t="n">
        <v>-1.148</v>
      </c>
      <c r="F50" t="n">
        <v>1.6</v>
      </c>
      <c r="G50" t="n">
        <v>1.8</v>
      </c>
      <c r="M50" t="n">
        <v>0.612</v>
      </c>
      <c r="N50" t="n">
        <v>180</v>
      </c>
      <c r="O50" s="2" t="n">
        <v>1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inlineStr">
        <is>
          <t>Ramandeep Singh</t>
        </is>
      </c>
      <c r="B51" t="inlineStr">
        <is>
          <t>pool</t>
        </is>
      </c>
      <c r="C51" t="inlineStr">
        <is>
          <t>Finisher</t>
        </is>
      </c>
      <c r="D51" t="n">
        <v>0</v>
      </c>
      <c r="E51" t="n">
        <v>-0.75</v>
      </c>
      <c r="F51" t="n">
        <v>1.01</v>
      </c>
      <c r="G51" t="n">
        <v>1.66</v>
      </c>
      <c r="M51" t="n">
        <v>0.417</v>
      </c>
      <c r="N51" t="n">
        <v>166</v>
      </c>
      <c r="O51" s="2" t="n">
        <v>1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Rahmanullah Gurbaz</t>
        </is>
      </c>
      <c r="B52" t="inlineStr">
        <is>
          <t>pool</t>
        </is>
      </c>
      <c r="C52" t="inlineStr">
        <is>
          <t>Wicketkeeper</t>
        </is>
      </c>
      <c r="D52" t="n">
        <v>1</v>
      </c>
      <c r="E52" t="n">
        <v>-0.996</v>
      </c>
      <c r="F52" t="n">
        <v>1</v>
      </c>
      <c r="G52" t="n">
        <v>2.34</v>
      </c>
      <c r="M52" t="n">
        <v>0.383</v>
      </c>
      <c r="N52" t="n">
        <v>234</v>
      </c>
      <c r="O52" s="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inlineStr">
        <is>
          <t>Nitish Rana</t>
        </is>
      </c>
      <c r="B53" t="inlineStr">
        <is>
          <t>pool</t>
        </is>
      </c>
      <c r="C53" t="inlineStr">
        <is>
          <t>Anchor</t>
        </is>
      </c>
      <c r="D53" t="n">
        <v>0</v>
      </c>
      <c r="E53" t="n">
        <v>-1.003</v>
      </c>
      <c r="F53" t="n">
        <v>1</v>
      </c>
      <c r="G53" t="n">
        <v>2.86</v>
      </c>
      <c r="M53" t="n">
        <v>0.306</v>
      </c>
      <c r="N53" t="n">
        <v>286</v>
      </c>
      <c r="O53" s="2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Sandeep Sharma</t>
        </is>
      </c>
      <c r="B54" t="inlineStr">
        <is>
          <t>pool</t>
        </is>
      </c>
      <c r="C54" t="inlineStr">
        <is>
          <t>Death pacer</t>
        </is>
      </c>
      <c r="D54" t="n">
        <v>0</v>
      </c>
      <c r="E54" t="n">
        <v>-0.6860000000000001</v>
      </c>
      <c r="F54" t="n">
        <v>1.021</v>
      </c>
      <c r="G54" t="n">
        <v>1.68</v>
      </c>
      <c r="M54" t="n">
        <v>0.08400000000000001</v>
      </c>
      <c r="N54" t="n">
        <v>168</v>
      </c>
      <c r="O54" s="2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</row>
    <row r="55">
      <c r="A55" t="inlineStr">
        <is>
          <t>Abhinav Manohar</t>
        </is>
      </c>
      <c r="B55" t="inlineStr">
        <is>
          <t>pool</t>
        </is>
      </c>
      <c r="C55" t="n">
        <v/>
      </c>
      <c r="D55" t="n">
        <v>0</v>
      </c>
      <c r="E55" t="n">
        <v>-1.378</v>
      </c>
      <c r="F55" t="n">
        <v>1</v>
      </c>
      <c r="G55" t="n">
        <v>1.35</v>
      </c>
      <c r="M55" t="n">
        <v>0.067</v>
      </c>
      <c r="N55" t="n">
        <v>135</v>
      </c>
      <c r="O55" s="2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8" customWidth="1" min="3" max="3"/>
    <col width="9" customWidth="1" min="4" max="4"/>
    <col width="10" customWidth="1" min="5" max="5"/>
    <col width="10" customWidth="1" min="6" max="6"/>
  </cols>
  <sheetData>
    <row r="1">
      <c r="A1" s="1" t="inlineStr">
        <is>
          <t>PuLP solution of the same reduced problem</t>
        </is>
      </c>
    </row>
    <row r="2">
      <c r="A2" t="inlineStr">
        <is>
          <t>Objective 63.636 | cost Rs 124.27 cr | squad 24 | overseas 7</t>
        </is>
      </c>
    </row>
    <row r="4">
      <c r="A4" s="3" t="inlineStr">
        <is>
          <t>Player</t>
        </is>
      </c>
      <c r="B4" s="3" t="inlineStr">
        <is>
          <t>Owner</t>
        </is>
      </c>
      <c r="C4" s="3" t="inlineStr">
        <is>
          <t>Primary role</t>
        </is>
      </c>
      <c r="D4" s="3" t="inlineStr">
        <is>
          <t>Impact</t>
        </is>
      </c>
      <c r="E4" s="3" t="inlineStr">
        <is>
          <t>Cost (cr)</t>
        </is>
      </c>
      <c r="F4" s="3" t="inlineStr">
        <is>
          <t>Decision</t>
        </is>
      </c>
    </row>
    <row r="5">
      <c r="A5" t="inlineStr">
        <is>
          <t>Bhuvneshwar Kumar</t>
        </is>
      </c>
      <c r="B5" t="inlineStr">
        <is>
          <t>own</t>
        </is>
      </c>
      <c r="C5" t="inlineStr">
        <is>
          <t>Death pacer</t>
        </is>
      </c>
      <c r="D5" t="n">
        <v>6.16</v>
      </c>
      <c r="E5" t="n">
        <v>10.75</v>
      </c>
      <c r="F5" t="inlineStr">
        <is>
          <t>Keep</t>
        </is>
      </c>
    </row>
    <row r="6">
      <c r="A6" t="inlineStr">
        <is>
          <t>Virat Kohli</t>
        </is>
      </c>
      <c r="B6" t="inlineStr">
        <is>
          <t>own</t>
        </is>
      </c>
      <c r="C6" t="inlineStr">
        <is>
          <t>Opener</t>
        </is>
      </c>
      <c r="D6" t="n">
        <v>4.54</v>
      </c>
      <c r="E6" t="n">
        <v>21</v>
      </c>
      <c r="F6" t="inlineStr">
        <is>
          <t>Keep</t>
        </is>
      </c>
    </row>
    <row r="7">
      <c r="A7" t="inlineStr">
        <is>
          <t>Josh Hazlewood</t>
        </is>
      </c>
      <c r="B7" t="inlineStr">
        <is>
          <t>own</t>
        </is>
      </c>
      <c r="C7" t="inlineStr">
        <is>
          <t>Powerplay pacer</t>
        </is>
      </c>
      <c r="D7" t="n">
        <v>3.42</v>
      </c>
      <c r="E7" t="n">
        <v>12.5</v>
      </c>
      <c r="F7" t="inlineStr">
        <is>
          <t>Keep</t>
        </is>
      </c>
    </row>
    <row r="8">
      <c r="A8" t="inlineStr">
        <is>
          <t>Rajat Patidar</t>
        </is>
      </c>
      <c r="B8" t="inlineStr">
        <is>
          <t>own</t>
        </is>
      </c>
      <c r="C8" t="inlineStr">
        <is>
          <t>Anchor</t>
        </is>
      </c>
      <c r="D8" t="n">
        <v>3.19</v>
      </c>
      <c r="E8" t="n">
        <v>11</v>
      </c>
      <c r="F8" t="inlineStr">
        <is>
          <t>Keep</t>
        </is>
      </c>
    </row>
    <row r="9">
      <c r="A9" t="inlineStr">
        <is>
          <t>Nuwan Thushara</t>
        </is>
      </c>
      <c r="B9" t="inlineStr">
        <is>
          <t>own</t>
        </is>
      </c>
      <c r="C9" t="inlineStr">
        <is>
          <t>Death pacer</t>
        </is>
      </c>
      <c r="D9" t="n">
        <v>2.46</v>
      </c>
      <c r="E9" t="n">
        <v>1.6</v>
      </c>
      <c r="F9" t="inlineStr">
        <is>
          <t>Keep</t>
        </is>
      </c>
    </row>
    <row r="10">
      <c r="A10" t="inlineStr">
        <is>
          <t>Swapnil Singh</t>
        </is>
      </c>
      <c r="B10" t="inlineStr">
        <is>
          <t>own</t>
        </is>
      </c>
      <c r="C10" t="n">
        <v/>
      </c>
      <c r="D10" t="n">
        <v>2.25</v>
      </c>
      <c r="E10" t="n">
        <v>0.5</v>
      </c>
      <c r="F10" t="inlineStr">
        <is>
          <t>Keep</t>
        </is>
      </c>
    </row>
    <row r="11">
      <c r="A11" t="inlineStr">
        <is>
          <t>Phil Salt</t>
        </is>
      </c>
      <c r="B11" t="inlineStr">
        <is>
          <t>own</t>
        </is>
      </c>
      <c r="C11" t="inlineStr">
        <is>
          <t>Opener</t>
        </is>
      </c>
      <c r="D11" t="n">
        <v>2.07</v>
      </c>
      <c r="E11" t="n">
        <v>11.5</v>
      </c>
      <c r="F11" t="inlineStr">
        <is>
          <t>Keep</t>
        </is>
      </c>
    </row>
    <row r="12">
      <c r="A12" t="inlineStr">
        <is>
          <t>Krunal Pandya</t>
        </is>
      </c>
      <c r="B12" t="inlineStr">
        <is>
          <t>own</t>
        </is>
      </c>
      <c r="C12" t="inlineStr">
        <is>
          <t>All-rounder</t>
        </is>
      </c>
      <c r="D12" t="n">
        <v>1.51</v>
      </c>
      <c r="E12" t="n">
        <v>5.75</v>
      </c>
      <c r="F12" t="inlineStr">
        <is>
          <t>Keep</t>
        </is>
      </c>
    </row>
    <row r="13">
      <c r="A13" t="inlineStr">
        <is>
          <t>Tim David</t>
        </is>
      </c>
      <c r="B13" t="inlineStr">
        <is>
          <t>own</t>
        </is>
      </c>
      <c r="C13" t="inlineStr">
        <is>
          <t>Finisher</t>
        </is>
      </c>
      <c r="D13" t="n">
        <v>1.33</v>
      </c>
      <c r="E13" t="n">
        <v>3</v>
      </c>
      <c r="F13" t="inlineStr">
        <is>
          <t>Keep</t>
        </is>
      </c>
    </row>
    <row r="14">
      <c r="A14" t="inlineStr">
        <is>
          <t>Venkatesh Iyer</t>
        </is>
      </c>
      <c r="B14" t="inlineStr">
        <is>
          <t>own</t>
        </is>
      </c>
      <c r="C14" t="inlineStr">
        <is>
          <t>Anchor</t>
        </is>
      </c>
      <c r="D14" t="n">
        <v>1.12</v>
      </c>
      <c r="E14" t="n">
        <v>7</v>
      </c>
      <c r="F14" t="inlineStr">
        <is>
          <t>Keep</t>
        </is>
      </c>
    </row>
    <row r="15">
      <c r="A15" t="inlineStr">
        <is>
          <t>Jacob Duffy</t>
        </is>
      </c>
      <c r="B15" t="inlineStr">
        <is>
          <t>own</t>
        </is>
      </c>
      <c r="C15" t="inlineStr">
        <is>
          <t>Powerplay pacer</t>
        </is>
      </c>
      <c r="D15" t="n">
        <v>0.51</v>
      </c>
      <c r="E15" t="n">
        <v>2</v>
      </c>
      <c r="F15" t="inlineStr">
        <is>
          <t>Keep</t>
        </is>
      </c>
    </row>
    <row r="16">
      <c r="A16" t="inlineStr">
        <is>
          <t>Devdutt Padikkal</t>
        </is>
      </c>
      <c r="B16" t="inlineStr">
        <is>
          <t>own</t>
        </is>
      </c>
      <c r="C16" t="inlineStr">
        <is>
          <t>Anchor</t>
        </is>
      </c>
      <c r="D16" t="n">
        <v>0.19</v>
      </c>
      <c r="E16" t="n">
        <v>2</v>
      </c>
      <c r="F16" t="inlineStr">
        <is>
          <t>Keep</t>
        </is>
      </c>
    </row>
    <row r="17">
      <c r="A17" t="inlineStr">
        <is>
          <t>Rasikh Salam</t>
        </is>
      </c>
      <c r="B17" t="inlineStr">
        <is>
          <t>own</t>
        </is>
      </c>
      <c r="C17" t="inlineStr">
        <is>
          <t>Death pacer</t>
        </is>
      </c>
      <c r="D17" t="n">
        <v>0.02</v>
      </c>
      <c r="E17" t="n">
        <v>6</v>
      </c>
      <c r="F17" t="inlineStr">
        <is>
          <t>Keep</t>
        </is>
      </c>
    </row>
    <row r="18">
      <c r="A18" t="inlineStr">
        <is>
          <t>Yash Dayal</t>
        </is>
      </c>
      <c r="B18" t="inlineStr">
        <is>
          <t>own</t>
        </is>
      </c>
      <c r="C18" t="inlineStr">
        <is>
          <t>Powerplay pacer</t>
        </is>
      </c>
      <c r="D18" t="n">
        <v>-0.21</v>
      </c>
      <c r="E18" t="n">
        <v>5</v>
      </c>
      <c r="F18" t="inlineStr">
        <is>
          <t>Release</t>
        </is>
      </c>
    </row>
    <row r="19">
      <c r="A19" t="inlineStr">
        <is>
          <t>Jitesh Sharma</t>
        </is>
      </c>
      <c r="B19" t="inlineStr">
        <is>
          <t>own</t>
        </is>
      </c>
      <c r="C19" t="inlineStr">
        <is>
          <t>Finisher</t>
        </is>
      </c>
      <c r="D19" t="n">
        <v>-0.72</v>
      </c>
      <c r="E19" t="n">
        <v>11</v>
      </c>
      <c r="F19" t="inlineStr">
        <is>
          <t>Release</t>
        </is>
      </c>
    </row>
    <row r="20">
      <c r="A20" t="inlineStr">
        <is>
          <t>Suyash Sharma</t>
        </is>
      </c>
      <c r="B20" t="inlineStr">
        <is>
          <t>own</t>
        </is>
      </c>
      <c r="C20" t="inlineStr">
        <is>
          <t>Wrist spinner</t>
        </is>
      </c>
      <c r="D20" t="n">
        <v>-0.89</v>
      </c>
      <c r="E20" t="n">
        <v>2.6</v>
      </c>
      <c r="F20" t="inlineStr">
        <is>
          <t>Release</t>
        </is>
      </c>
    </row>
    <row r="21">
      <c r="A21" t="inlineStr">
        <is>
          <t>Romario Shepherd</t>
        </is>
      </c>
      <c r="B21" t="inlineStr">
        <is>
          <t>own</t>
        </is>
      </c>
      <c r="C21" t="inlineStr">
        <is>
          <t>Powerplay pacer</t>
        </is>
      </c>
      <c r="D21" t="n">
        <v>-2.06</v>
      </c>
      <c r="E21" t="n">
        <v>1.5</v>
      </c>
      <c r="F21" t="inlineStr">
        <is>
          <t>Release</t>
        </is>
      </c>
    </row>
    <row r="22">
      <c r="A22" t="inlineStr">
        <is>
          <t>Jacob Bethell</t>
        </is>
      </c>
      <c r="B22" t="inlineStr">
        <is>
          <t>own</t>
        </is>
      </c>
      <c r="C22" t="n">
        <v/>
      </c>
      <c r="D22" t="n">
        <v>-2.07</v>
      </c>
      <c r="E22" t="n">
        <v>2.6</v>
      </c>
      <c r="F22" t="inlineStr">
        <is>
          <t>Release</t>
        </is>
      </c>
    </row>
    <row r="23">
      <c r="A23" t="inlineStr">
        <is>
          <t>Abhinandan Singh</t>
        </is>
      </c>
      <c r="B23" t="inlineStr">
        <is>
          <t>own</t>
        </is>
      </c>
      <c r="C23" t="n">
        <v/>
      </c>
      <c r="E23" t="n">
        <v>0.3</v>
      </c>
      <c r="F23" t="inlineStr">
        <is>
          <t>Release</t>
        </is>
      </c>
    </row>
    <row r="24">
      <c r="A24" t="inlineStr">
        <is>
          <t>Jordan Cox</t>
        </is>
      </c>
      <c r="B24" t="inlineStr">
        <is>
          <t>own</t>
        </is>
      </c>
      <c r="C24" t="n">
        <v/>
      </c>
      <c r="E24" t="n">
        <v>0.75</v>
      </c>
      <c r="F24" t="inlineStr">
        <is>
          <t>Release</t>
        </is>
      </c>
    </row>
    <row r="25">
      <c r="A25" t="inlineStr">
        <is>
          <t>Kanishk Chouhan</t>
        </is>
      </c>
      <c r="B25" t="inlineStr">
        <is>
          <t>own</t>
        </is>
      </c>
      <c r="C25" t="n">
        <v/>
      </c>
      <c r="E25" t="n">
        <v>0.3</v>
      </c>
      <c r="F25" t="inlineStr">
        <is>
          <t>Release</t>
        </is>
      </c>
    </row>
    <row r="26">
      <c r="A26" t="inlineStr">
        <is>
          <t>Mangesh Yadav</t>
        </is>
      </c>
      <c r="B26" t="inlineStr">
        <is>
          <t>own</t>
        </is>
      </c>
      <c r="C26" t="n">
        <v/>
      </c>
      <c r="E26" t="n">
        <v>5.2</v>
      </c>
      <c r="F26" t="inlineStr">
        <is>
          <t>Release</t>
        </is>
      </c>
    </row>
    <row r="27">
      <c r="A27" t="inlineStr">
        <is>
          <t>Satvik Deswal</t>
        </is>
      </c>
      <c r="B27" t="inlineStr">
        <is>
          <t>own</t>
        </is>
      </c>
      <c r="C27" t="n">
        <v/>
      </c>
      <c r="E27" t="n">
        <v>0.3</v>
      </c>
      <c r="F27" t="inlineStr">
        <is>
          <t>Release</t>
        </is>
      </c>
    </row>
    <row r="28">
      <c r="A28" t="inlineStr">
        <is>
          <t>Vicky Ostwal</t>
        </is>
      </c>
      <c r="B28" t="inlineStr">
        <is>
          <t>own</t>
        </is>
      </c>
      <c r="C28" t="n">
        <v/>
      </c>
      <c r="E28" t="n">
        <v>0.3</v>
      </c>
      <c r="F28" t="inlineStr">
        <is>
          <t>Release</t>
        </is>
      </c>
    </row>
    <row r="29">
      <c r="A29" t="inlineStr">
        <is>
          <t>Vihaan Malhotra</t>
        </is>
      </c>
      <c r="B29" t="inlineStr">
        <is>
          <t>own</t>
        </is>
      </c>
      <c r="C29" t="n">
        <v/>
      </c>
      <c r="E29" t="n">
        <v>0.3</v>
      </c>
      <c r="F29" t="inlineStr">
        <is>
          <t>Release</t>
        </is>
      </c>
    </row>
    <row r="30">
      <c r="A30" t="inlineStr">
        <is>
          <t>Jonny Bairstow</t>
        </is>
      </c>
      <c r="B30" t="inlineStr">
        <is>
          <t>pool</t>
        </is>
      </c>
      <c r="C30" t="inlineStr">
        <is>
          <t>Opener</t>
        </is>
      </c>
      <c r="D30" t="n">
        <v>2.04</v>
      </c>
      <c r="E30" t="n">
        <v>6.5</v>
      </c>
      <c r="F30" t="inlineStr">
        <is>
          <t>Buy</t>
        </is>
      </c>
    </row>
    <row r="31">
      <c r="A31" t="inlineStr">
        <is>
          <t>Moeen Ali</t>
        </is>
      </c>
      <c r="B31" t="inlineStr">
        <is>
          <t>pool</t>
        </is>
      </c>
      <c r="C31" t="inlineStr">
        <is>
          <t>Finger spinner</t>
        </is>
      </c>
      <c r="D31" t="n">
        <v>1.02</v>
      </c>
      <c r="E31" t="n">
        <v>5.63</v>
      </c>
      <c r="F31" t="inlineStr">
        <is>
          <t>Buy</t>
        </is>
      </c>
    </row>
    <row r="32">
      <c r="A32" t="inlineStr">
        <is>
          <t>Karn Sharma</t>
        </is>
      </c>
      <c r="B32" t="inlineStr">
        <is>
          <t>pool</t>
        </is>
      </c>
      <c r="C32" t="inlineStr">
        <is>
          <t>Wrist spinner</t>
        </is>
      </c>
      <c r="D32" t="n">
        <v>0.09</v>
      </c>
      <c r="E32" t="n">
        <v>1.7</v>
      </c>
      <c r="F32" t="inlineStr">
        <is>
          <t>Buy</t>
        </is>
      </c>
    </row>
    <row r="33">
      <c r="A33" t="inlineStr">
        <is>
          <t>Mahipal Lomror</t>
        </is>
      </c>
      <c r="B33" t="inlineStr">
        <is>
          <t>pool</t>
        </is>
      </c>
      <c r="C33" t="n">
        <v/>
      </c>
      <c r="D33" t="n">
        <v>0.15</v>
      </c>
      <c r="E33" t="n">
        <v>1.48</v>
      </c>
      <c r="F33" t="inlineStr">
        <is>
          <t>Buy</t>
        </is>
      </c>
    </row>
    <row r="34">
      <c r="A34" t="inlineStr">
        <is>
          <t>Nitish Kumar Reddy</t>
        </is>
      </c>
      <c r="B34" t="inlineStr">
        <is>
          <t>pool</t>
        </is>
      </c>
      <c r="C34" t="inlineStr">
        <is>
          <t>Middle-order</t>
        </is>
      </c>
      <c r="D34" t="n">
        <v>-0.9399999999999999</v>
      </c>
      <c r="E34" t="n">
        <v>3.27</v>
      </c>
      <c r="F34" t="inlineStr">
        <is>
          <t>Buy</t>
        </is>
      </c>
    </row>
    <row r="35">
      <c r="A35" t="inlineStr">
        <is>
          <t>Jake Fraser-McGurk</t>
        </is>
      </c>
      <c r="B35" t="inlineStr">
        <is>
          <t>pool</t>
        </is>
      </c>
      <c r="C35" t="inlineStr">
        <is>
          <t>Opener</t>
        </is>
      </c>
      <c r="D35" t="n">
        <v>0.26</v>
      </c>
      <c r="E35" t="n">
        <v>5.04</v>
      </c>
      <c r="F35" t="inlineStr">
        <is>
          <t>-</t>
        </is>
      </c>
    </row>
    <row r="36">
      <c r="A36" t="inlineStr">
        <is>
          <t>Kartik Sharma</t>
        </is>
      </c>
      <c r="B36" t="inlineStr">
        <is>
          <t>pool</t>
        </is>
      </c>
      <c r="C36" t="inlineStr">
        <is>
          <t>Middle-order</t>
        </is>
      </c>
      <c r="D36" t="n">
        <v>-0.79</v>
      </c>
      <c r="E36" t="n">
        <v>2.54</v>
      </c>
      <c r="F36" t="inlineStr">
        <is>
          <t>Buy</t>
        </is>
      </c>
    </row>
    <row r="37">
      <c r="A37" t="inlineStr">
        <is>
          <t>Glenn Maxwell</t>
        </is>
      </c>
      <c r="B37" t="inlineStr">
        <is>
          <t>pool</t>
        </is>
      </c>
      <c r="C37" t="inlineStr">
        <is>
          <t>Finger spinner</t>
        </is>
      </c>
      <c r="D37" t="n">
        <v>-0.43</v>
      </c>
      <c r="E37" t="n">
        <v>3.38</v>
      </c>
      <c r="F37" t="inlineStr">
        <is>
          <t>-</t>
        </is>
      </c>
    </row>
    <row r="38">
      <c r="A38" t="inlineStr">
        <is>
          <t>Naman Dhir</t>
        </is>
      </c>
      <c r="B38" t="inlineStr">
        <is>
          <t>pool</t>
        </is>
      </c>
      <c r="C38" t="inlineStr">
        <is>
          <t>Finisher</t>
        </is>
      </c>
      <c r="D38" t="n">
        <v>-0.34</v>
      </c>
      <c r="E38" t="n">
        <v>1.98</v>
      </c>
      <c r="F38" t="inlineStr">
        <is>
          <t>Buy</t>
        </is>
      </c>
    </row>
    <row r="39">
      <c r="A39" t="inlineStr">
        <is>
          <t>MS Dhoni</t>
        </is>
      </c>
      <c r="B39" t="inlineStr">
        <is>
          <t>pool</t>
        </is>
      </c>
      <c r="C39" t="inlineStr">
        <is>
          <t>Finisher</t>
        </is>
      </c>
      <c r="D39" t="n">
        <v>-0.4</v>
      </c>
      <c r="E39" t="n">
        <v>1.78</v>
      </c>
      <c r="F39" t="inlineStr">
        <is>
          <t>Buy</t>
        </is>
      </c>
    </row>
    <row r="40">
      <c r="A40" t="inlineStr">
        <is>
          <t>Prashant Veer</t>
        </is>
      </c>
      <c r="B40" t="inlineStr">
        <is>
          <t>pool</t>
        </is>
      </c>
      <c r="C40" t="n">
        <v/>
      </c>
      <c r="D40" t="n">
        <v>-0.64</v>
      </c>
      <c r="E40" t="n">
        <v>2.63</v>
      </c>
      <c r="F40" t="inlineStr">
        <is>
          <t>-</t>
        </is>
      </c>
    </row>
    <row r="41">
      <c r="A41" t="inlineStr">
        <is>
          <t>Mayank Agarwal</t>
        </is>
      </c>
      <c r="B41" t="inlineStr">
        <is>
          <t>pool</t>
        </is>
      </c>
      <c r="C41" t="inlineStr">
        <is>
          <t>Anchor</t>
        </is>
      </c>
      <c r="D41" t="n">
        <v>-0.91</v>
      </c>
      <c r="E41" t="n">
        <v>3.66</v>
      </c>
      <c r="F41" t="inlineStr">
        <is>
          <t>-</t>
        </is>
      </c>
    </row>
    <row r="42">
      <c r="A42" t="inlineStr">
        <is>
          <t>Gurjapneet Singh</t>
        </is>
      </c>
      <c r="B42" t="inlineStr">
        <is>
          <t>pool</t>
        </is>
      </c>
      <c r="C42" t="inlineStr">
        <is>
          <t>Powerplay pacer</t>
        </is>
      </c>
      <c r="D42" t="n">
        <v>-0.82</v>
      </c>
      <c r="E42" t="n">
        <v>1.33</v>
      </c>
      <c r="F42" t="inlineStr">
        <is>
          <t>Buy</t>
        </is>
      </c>
    </row>
    <row r="43">
      <c r="A43" t="inlineStr">
        <is>
          <t>Vijay Shankar</t>
        </is>
      </c>
      <c r="B43" t="inlineStr">
        <is>
          <t>pool</t>
        </is>
      </c>
      <c r="C43" t="inlineStr">
        <is>
          <t>Middle-order</t>
        </is>
      </c>
      <c r="D43" t="n">
        <v>-1.15</v>
      </c>
      <c r="E43" t="n">
        <v>1.8</v>
      </c>
      <c r="F43" t="inlineStr">
        <is>
          <t>Buy</t>
        </is>
      </c>
    </row>
    <row r="44">
      <c r="A44" t="inlineStr">
        <is>
          <t>Ramandeep Singh</t>
        </is>
      </c>
      <c r="B44" t="inlineStr">
        <is>
          <t>pool</t>
        </is>
      </c>
      <c r="C44" t="inlineStr">
        <is>
          <t>Finisher</t>
        </is>
      </c>
      <c r="D44" t="n">
        <v>-0.75</v>
      </c>
      <c r="E44" t="n">
        <v>1.66</v>
      </c>
      <c r="F44" t="inlineStr">
        <is>
          <t>Buy</t>
        </is>
      </c>
    </row>
    <row r="45">
      <c r="A45" t="inlineStr">
        <is>
          <t>Rahmanullah Gurbaz</t>
        </is>
      </c>
      <c r="B45" t="inlineStr">
        <is>
          <t>pool</t>
        </is>
      </c>
      <c r="C45" t="inlineStr">
        <is>
          <t>Wicketkeeper</t>
        </is>
      </c>
      <c r="D45" t="n">
        <v>-1</v>
      </c>
      <c r="E45" t="n">
        <v>2.34</v>
      </c>
      <c r="F45" t="inlineStr">
        <is>
          <t>-</t>
        </is>
      </c>
    </row>
    <row r="46">
      <c r="A46" t="inlineStr">
        <is>
          <t>Nitish Rana</t>
        </is>
      </c>
      <c r="B46" t="inlineStr">
        <is>
          <t>pool</t>
        </is>
      </c>
      <c r="C46" t="inlineStr">
        <is>
          <t>Anchor</t>
        </is>
      </c>
      <c r="D46" t="n">
        <v>-1</v>
      </c>
      <c r="E46" t="n">
        <v>2.86</v>
      </c>
      <c r="F46" t="inlineStr">
        <is>
          <t>-</t>
        </is>
      </c>
    </row>
    <row r="47">
      <c r="A47" t="inlineStr">
        <is>
          <t>Sandeep Sharma</t>
        </is>
      </c>
      <c r="B47" t="inlineStr">
        <is>
          <t>pool</t>
        </is>
      </c>
      <c r="C47" t="inlineStr">
        <is>
          <t>Death pacer</t>
        </is>
      </c>
      <c r="D47" t="n">
        <v>-0.6899999999999999</v>
      </c>
      <c r="E47" t="n">
        <v>1.68</v>
      </c>
      <c r="F47" t="inlineStr">
        <is>
          <t>-</t>
        </is>
      </c>
    </row>
    <row r="48">
      <c r="A48" t="inlineStr">
        <is>
          <t>Abhinav Manohar</t>
        </is>
      </c>
      <c r="B48" t="inlineStr">
        <is>
          <t>pool</t>
        </is>
      </c>
      <c r="C48" t="n">
        <v/>
      </c>
      <c r="D48" t="n">
        <v>-1.38</v>
      </c>
      <c r="E48" t="n">
        <v>1.35</v>
      </c>
      <c r="F4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2026-10-03T16:30:56Z</dcterms:created>
  <dcterms:modified xmlns:dcterms="http://purl.org/dc/terms/" xmlns:xsi="http://www.w3.org/2001/XMLSchema-instance" xsi:type="dcterms:W3CDTF">2026-10-03T16:30:56Z</dcterms:modified>
</cp:coreProperties>
</file>